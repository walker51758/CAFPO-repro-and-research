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22ede44b6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istics_94" sheetId="1" r:id="R7196b9235b484c9c"/>
    <x:sheet xmlns:r="http://schemas.openxmlformats.org/officeDocument/2006/relationships" name="Summary" sheetId="2" r:id="R6545861b174246ec"/>
    <x:sheet xmlns:r="http://schemas.openxmlformats.org/officeDocument/2006/relationships" name="Groups" sheetId="3" r:id="R332e8c2e4b8642c2"/>
    <x:sheet xmlns:r="http://schemas.openxmlformats.org/officeDocument/2006/relationships" name="Notes" sheetId="4" r:id="R97aa5a3962a5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b23486e554fcb" /><Relationship Type="http://schemas.openxmlformats.org/officeDocument/2006/relationships/theme" Target="/xl/theme/theme1.xml" Id="Ra776453ef821423f" /><Relationship Type="http://schemas.openxmlformats.org/officeDocument/2006/relationships/sharedStrings" Target="/xl/sharedStrings.xml" Id="R041366d63db34bba" /><Relationship Type="http://schemas.openxmlformats.org/officeDocument/2006/relationships/worksheet" Target="/xl/worksheets/sheet1.xml" Id="R7196b9235b484c9c" /><Relationship Type="http://schemas.openxmlformats.org/officeDocument/2006/relationships/worksheet" Target="/xl/worksheets/sheet2.xml" Id="R6545861b174246ec" /><Relationship Type="http://schemas.openxmlformats.org/officeDocument/2006/relationships/worksheet" Target="/xl/worksheets/sheet3.xml" Id="R332e8c2e4b8642c2" /><Relationship Type="http://schemas.openxmlformats.org/officeDocument/2006/relationships/worksheet" Target="/xl/worksheets/sheet4.xml" Id="R97aa5a3962a543d9" /></Relationships>
</file>

<file path=xl/tables/table1.xml><?xml version="1.0" encoding="utf-8"?>
<x:table xmlns:x="http://schemas.openxmlformats.org/spreadsheetml/2006/main" id="1" name="GKXCharacteristics" displayName="GKXCharacteristics" ref="A1:N95" headerRowCount="1">
  <x:tableColumns count="14">
    <x:tableColumn id="1" name="No."/>
    <x:tableColumn id="2" name="Appendix Acronym"/>
    <x:tableColumn id="3" name="Dataset Column Name"/>
    <x:tableColumn id="4" name="Firm Characteristic"/>
    <x:tableColumn id="5" name="中文释义"/>
    <x:tableColumn id="6" name="Economic Group"/>
    <x:tableColumn id="7" name="Paper's author(s)"/>
    <x:tableColumn id="8" name="Year"/>
    <x:tableColumn id="9" name="Journal"/>
    <x:tableColumn id="10" name="Data Source"/>
    <x:tableColumn id="11" name="Frequency"/>
    <x:tableColumn id="12" name="Primary Source URL"/>
    <x:tableColumn id="13" name="Data URL"/>
    <x:tableColumn id="14" name="Implementation Note"/>
  </x:tableColumns>
  <x:tableStyleInfo name="TableStyleMedium2" showRowStripes="1"/>
</x:table>
</file>

<file path=xl/tables/table2.xml><?xml version="1.0" encoding="utf-8"?>
<x:table xmlns:x="http://schemas.openxmlformats.org/spreadsheetml/2006/main" id="2" name="GroupCounts" displayName="GroupCounts" ref="A1:C53" headerRowCount="1">
  <x:tableColumns count="3">
    <x:tableColumn id="1" name="Economic Group"/>
    <x:tableColumn id="2" name="Count"/>
    <x:tableColumn id="3" name="Example Variables"/>
  </x:tableColumns>
  <x:tableStyleInfo name="TableStyleMedium2" showRowStripes="1"/>
</x:table>
</file>

<file path=xl/tables/table3.xml><?xml version="1.0" encoding="utf-8"?>
<x:table xmlns:x="http://schemas.openxmlformats.org/spreadsheetml/2006/main" id="3" name="NotesTable" displayName="NotesTable" ref="A1:C7" headerRowCount="1">
  <x:tableColumns count="3">
    <x:tableColumn id="1" name="Topic"/>
    <x:tableColumn id="2" name="Note"/>
    <x:tableColumn id="3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dfd02ef9df4f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1a4ecfd99047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6a30eb8abd4aa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28" hidden="0" customWidth="1"/>
    <x:col min="7" max="7" width="34" hidden="0" customWidth="1"/>
    <x:col min="8" max="8" width="10" hidden="0" customWidth="1"/>
    <x:col min="9" max="9" width="14" hidden="0" customWidth="1"/>
    <x:col min="10" max="10" width="14" hidden="0" customWidth="1"/>
    <x:col min="11" max="11" width="14" hidden="0" customWidth="1"/>
    <x:col min="12" max="12" width="45" hidden="0" customWidth="1"/>
    <x:col min="13" max="13" width="45" hidden="0" customWidth="1"/>
    <x:col min="14" max="14" width="44" hidden="0" customWidth="1"/>
  </x:cols>
  <x:sheetData>
    <x:row r="1" ht="30" customHeight="1">
      <x:c r="A1" s="6" t="str">
        <x:v>No.</x:v>
      </x:c>
      <x:c r="B1" s="6" t="str">
        <x:v>Appendix Acronym</x:v>
      </x:c>
      <x:c r="C1" s="6" t="str">
        <x:v>Dataset Column Name</x:v>
      </x:c>
      <x:c r="D1" s="6" t="str">
        <x:v>Firm Characteristic</x:v>
      </x:c>
      <x:c r="E1" s="6" t="str">
        <x:v>中文释义</x:v>
      </x:c>
      <x:c r="F1" s="6" t="str">
        <x:v>Economic Group</x:v>
      </x:c>
      <x:c r="G1" s="6" t="str">
        <x:v>Paper's author(s)</x:v>
      </x:c>
      <x:c r="H1" s="6" t="str">
        <x:v>Year</x:v>
      </x:c>
      <x:c r="I1" s="6" t="str">
        <x:v>Journal</x:v>
      </x:c>
      <x:c r="J1" s="6" t="str">
        <x:v>Data Source</x:v>
      </x:c>
      <x:c r="K1" s="6" t="str">
        <x:v>Frequency</x:v>
      </x:c>
      <x:c r="L1" s="6" t="str">
        <x:v>Primary Source URL</x:v>
      </x:c>
      <x:c r="M1" s="6" t="str">
        <x:v>Data URL</x:v>
      </x:c>
      <x:c r="N1" s="6" t="str">
        <x:v>Implementation Note</x:v>
      </x:c>
    </x:row>
    <x:row r="2">
      <x:c r="A2" s="14" t="n">
        <x:v>1</x:v>
      </x:c>
      <x:c r="B2" s="14" t="str">
        <x:v>absacc</x:v>
      </x:c>
      <x:c r="C2" s="14" t="str">
        <x:v>absacc</x:v>
      </x:c>
      <x:c r="D2" s="14" t="str">
        <x:v>Absolute accruals</x:v>
      </x:c>
      <x:c r="E2" s="14" t="str">
        <x:v>绝对应计项目</x:v>
      </x:c>
      <x:c r="F2" s="14" t="str">
        <x:v>Accruals / accounting quality</x:v>
      </x:c>
      <x:c r="G2" s="14" t="str">
        <x:v>Bandyopadhyay, Huang &amp; Wirjanto</x:v>
      </x:c>
      <x:c r="H2" s="14" t="n">
        <x:v>2010</x:v>
      </x:c>
      <x:c r="I2" s="14" t="str">
        <x:v>WP</x:v>
      </x:c>
      <x:c r="J2" s="14" t="str">
        <x:v>Compustat</x:v>
      </x:c>
      <x:c r="K2" s="14" t="str">
        <x:v>Annual</x:v>
      </x:c>
      <x:c r="L2" s="14" t="str">
        <x:v>https://dachxiu.chicagobooth.edu/download/ML_supp.pdf</x:v>
      </x:c>
      <x:c r="M2" s="14" t="str">
        <x:v>https://dachxiu.chicagobooth.edu/download/datashare.zip</x:v>
      </x:c>
      <x:c r="N2" s="14" t="str">
        <x:v>Gu, Kelly &amp; Xiu Table A.6; dataset-style name uses lower case and underscores where needed.</x:v>
      </x:c>
    </x:row>
    <x:row r="3">
      <x:c r="A3" s="14" t="n">
        <x:v>2</x:v>
      </x:c>
      <x:c r="B3" s="14" t="str">
        <x:v>acc</x:v>
      </x:c>
      <x:c r="C3" s="14" t="str">
        <x:v>acc</x:v>
      </x:c>
      <x:c r="D3" s="14" t="str">
        <x:v>Working capital accruals</x:v>
      </x:c>
      <x:c r="E3" s="14" t="str">
        <x:v>营运资本应计项目</x:v>
      </x:c>
      <x:c r="F3" s="14" t="str">
        <x:v>Accruals / accounting quality</x:v>
      </x:c>
      <x:c r="G3" s="14" t="str">
        <x:v>Sloan</x:v>
      </x:c>
      <x:c r="H3" s="14" t="n">
        <x:v>1996</x:v>
      </x:c>
      <x:c r="I3" s="14" t="str">
        <x:v>TAR</x:v>
      </x:c>
      <x:c r="J3" s="14" t="str">
        <x:v>Compustat</x:v>
      </x:c>
      <x:c r="K3" s="14" t="str">
        <x:v>Annual</x:v>
      </x:c>
      <x:c r="L3" s="14" t="str">
        <x:v>https://dachxiu.chicagobooth.edu/download/ML_supp.pdf</x:v>
      </x:c>
      <x:c r="M3" s="14" t="str">
        <x:v>https://dachxiu.chicagobooth.edu/download/datashare.zip</x:v>
      </x:c>
      <x:c r="N3" s="14" t="str">
        <x:v>Gu, Kelly &amp; Xiu Table A.6; dataset-style name uses lower case and underscores where needed.</x:v>
      </x:c>
    </x:row>
    <x:row r="4">
      <x:c r="A4" s="14" t="n">
        <x:v>3</x:v>
      </x:c>
      <x:c r="B4" s="14" t="str">
        <x:v>aeavol</x:v>
      </x:c>
      <x:c r="C4" s="14" t="str">
        <x:v>aeavol</x:v>
      </x:c>
      <x:c r="D4" s="14" t="str">
        <x:v>Abnormal earnings announcement volume</x:v>
      </x:c>
      <x:c r="E4" s="14" t="str">
        <x:v>盈余公告异常成交量</x:v>
      </x:c>
      <x:c r="F4" s="14" t="str">
        <x:v>Earnings announcement / event</x:v>
      </x:c>
      <x:c r="G4" s="14" t="str">
        <x:v>Lerman, Livnat &amp; Mendenhall</x:v>
      </x:c>
      <x:c r="H4" s="14" t="n">
        <x:v>2007</x:v>
      </x:c>
      <x:c r="I4" s="14" t="str">
        <x:v>WP</x:v>
      </x:c>
      <x:c r="J4" s="14" t="str">
        <x:v>Compustat+CRSP</x:v>
      </x:c>
      <x:c r="K4" s="14" t="str">
        <x:v>Quarterly</x:v>
      </x:c>
      <x:c r="L4" s="14" t="str">
        <x:v>https://dachxiu.chicagobooth.edu/download/ML_supp.pdf</x:v>
      </x:c>
      <x:c r="M4" s="14" t="str">
        <x:v>https://dachxiu.chicagobooth.edu/download/datashare.zip</x:v>
      </x:c>
      <x:c r="N4" s="14" t="str">
        <x:v>Gu, Kelly &amp; Xiu Table A.6; dataset-style name uses lower case and underscores where needed.</x:v>
      </x:c>
    </x:row>
    <x:row r="5">
      <x:c r="A5" s="14" t="n">
        <x:v>4</x:v>
      </x:c>
      <x:c r="B5" s="14" t="str">
        <x:v>age</x:v>
      </x:c>
      <x:c r="C5" s="14" t="str">
        <x:v>age</x:v>
      </x:c>
      <x:c r="D5" s="14" t="str">
        <x:v># years since first Compustat coverage</x:v>
      </x:c>
      <x:c r="E5" s="14" t="str">
        <x:v>首次进入Compustat后的年份数</x:v>
      </x:c>
      <x:c r="F5" s="14" t="str">
        <x:v>Firm age / lifecycle</x:v>
      </x:c>
      <x:c r="G5" s="14" t="str">
        <x:v>Jiang, Lee &amp; Zhang</x:v>
      </x:c>
      <x:c r="H5" s="14" t="n">
        <x:v>2005</x:v>
      </x:c>
      <x:c r="I5" s="14" t="str">
        <x:v>RAS</x:v>
      </x:c>
      <x:c r="J5" s="14" t="str">
        <x:v>Compustat</x:v>
      </x:c>
      <x:c r="K5" s="14" t="str">
        <x:v>Annual</x:v>
      </x:c>
      <x:c r="L5" s="14" t="str">
        <x:v>https://dachxiu.chicagobooth.edu/download/ML_supp.pdf</x:v>
      </x:c>
      <x:c r="M5" s="14" t="str">
        <x:v>https://dachxiu.chicagobooth.edu/download/datashare.zip</x:v>
      </x:c>
      <x:c r="N5" s="14" t="str">
        <x:v>Gu, Kelly &amp; Xiu Table A.6; dataset-style name uses lower case and underscores where needed.</x:v>
      </x:c>
    </x:row>
    <x:row r="6">
      <x:c r="A6" s="14" t="n">
        <x:v>5</x:v>
      </x:c>
      <x:c r="B6" s="14" t="str">
        <x:v>agr</x:v>
      </x:c>
      <x:c r="C6" s="14" t="str">
        <x:v>agr</x:v>
      </x:c>
      <x:c r="D6" s="14" t="str">
        <x:v>Asset growth</x:v>
      </x:c>
      <x:c r="E6" s="14" t="str">
        <x:v>资产增长率</x:v>
      </x:c>
      <x:c r="F6" s="14" t="str">
        <x:v>Investment / growth</x:v>
      </x:c>
      <x:c r="G6" s="14" t="str">
        <x:v>Cooper, Gulen &amp; Schill</x:v>
      </x:c>
      <x:c r="H6" s="14" t="n">
        <x:v>2008</x:v>
      </x:c>
      <x:c r="I6" s="14" t="str">
        <x:v>JF</x:v>
      </x:c>
      <x:c r="J6" s="14" t="str">
        <x:v>Compustat</x:v>
      </x:c>
      <x:c r="K6" s="14" t="str">
        <x:v>Annual</x:v>
      </x:c>
      <x:c r="L6" s="14" t="str">
        <x:v>https://dachxiu.chicagobooth.edu/download/ML_supp.pdf</x:v>
      </x:c>
      <x:c r="M6" s="14" t="str">
        <x:v>https://dachxiu.chicagobooth.edu/download/datashare.zip</x:v>
      </x:c>
      <x:c r="N6" s="14" t="str">
        <x:v>Gu, Kelly &amp; Xiu Table A.6; dataset-style name uses lower case and underscores where needed.</x:v>
      </x:c>
    </x:row>
    <x:row r="7">
      <x:c r="A7" s="14" t="n">
        <x:v>6</x:v>
      </x:c>
      <x:c r="B7" s="14" t="str">
        <x:v>baspread</x:v>
      </x:c>
      <x:c r="C7" s="14" t="str">
        <x:v>baspread</x:v>
      </x:c>
      <x:c r="D7" s="14" t="str">
        <x:v>Bid-ask spread</x:v>
      </x:c>
      <x:c r="E7" s="14" t="str">
        <x:v>买卖价差</x:v>
      </x:c>
      <x:c r="F7" s="14" t="str">
        <x:v>Liquidity / transaction cost</x:v>
      </x:c>
      <x:c r="G7" s="14" t="str">
        <x:v>Amihud &amp; Mendelson</x:v>
      </x:c>
      <x:c r="H7" s="14" t="n">
        <x:v>1989</x:v>
      </x:c>
      <x:c r="I7" s="14" t="str">
        <x:v>JF</x:v>
      </x:c>
      <x:c r="J7" s="14" t="str">
        <x:v>CRSP</x:v>
      </x:c>
      <x:c r="K7" s="14" t="str">
        <x:v>Monthly</x:v>
      </x:c>
      <x:c r="L7" s="14" t="str">
        <x:v>https://dachxiu.chicagobooth.edu/download/ML_supp.pdf</x:v>
      </x:c>
      <x:c r="M7" s="14" t="str">
        <x:v>https://dachxiu.chicagobooth.edu/download/datashare.zip</x:v>
      </x:c>
      <x:c r="N7" s="14" t="str">
        <x:v>Gu, Kelly &amp; Xiu Table A.6; dataset-style name uses lower case and underscores where needed.</x:v>
      </x:c>
    </x:row>
    <x:row r="8">
      <x:c r="A8" s="14" t="n">
        <x:v>7</x:v>
      </x:c>
      <x:c r="B8" s="14" t="str">
        <x:v>beta</x:v>
      </x:c>
      <x:c r="C8" s="14" t="str">
        <x:v>beta</x:v>
      </x:c>
      <x:c r="D8" s="14" t="str">
        <x:v>Beta</x:v>
      </x:c>
      <x:c r="E8" s="14" t="str">
        <x:v>市场Beta</x:v>
      </x:c>
      <x:c r="F8" s="14" t="str">
        <x:v>Market risk</x:v>
      </x:c>
      <x:c r="G8" s="14" t="str">
        <x:v>Fama &amp; MacBeth</x:v>
      </x:c>
      <x:c r="H8" s="14" t="n">
        <x:v>1973</x:v>
      </x:c>
      <x:c r="I8" s="14" t="str">
        <x:v>JPE</x:v>
      </x:c>
      <x:c r="J8" s="14" t="str">
        <x:v>CRSP</x:v>
      </x:c>
      <x:c r="K8" s="14" t="str">
        <x:v>Monthly</x:v>
      </x:c>
      <x:c r="L8" s="14" t="str">
        <x:v>https://dachxiu.chicagobooth.edu/download/ML_supp.pdf</x:v>
      </x:c>
      <x:c r="M8" s="14" t="str">
        <x:v>https://dachxiu.chicagobooth.edu/download/datashare.zip</x:v>
      </x:c>
      <x:c r="N8" s="14" t="str">
        <x:v>Gu, Kelly &amp; Xiu Table A.6; dataset-style name uses lower case and underscores where needed.</x:v>
      </x:c>
    </x:row>
    <x:row r="9">
      <x:c r="A9" s="14" t="n">
        <x:v>8</x:v>
      </x:c>
      <x:c r="B9" s="14" t="str">
        <x:v>betasq</x:v>
      </x:c>
      <x:c r="C9" s="14" t="str">
        <x:v>betasq</x:v>
      </x:c>
      <x:c r="D9" s="14" t="str">
        <x:v>Beta squared</x:v>
      </x:c>
      <x:c r="E9" s="14" t="str">
        <x:v>Beta平方</x:v>
      </x:c>
      <x:c r="F9" s="14" t="str">
        <x:v>Market risk / nonlinearity</x:v>
      </x:c>
      <x:c r="G9" s="14" t="str">
        <x:v>Fama &amp; MacBeth</x:v>
      </x:c>
      <x:c r="H9" s="14" t="n">
        <x:v>1973</x:v>
      </x:c>
      <x:c r="I9" s="14" t="str">
        <x:v>JPE</x:v>
      </x:c>
      <x:c r="J9" s="14" t="str">
        <x:v>CRSP</x:v>
      </x:c>
      <x:c r="K9" s="14" t="str">
        <x:v>Monthly</x:v>
      </x:c>
      <x:c r="L9" s="14" t="str">
        <x:v>https://dachxiu.chicagobooth.edu/download/ML_supp.pdf</x:v>
      </x:c>
      <x:c r="M9" s="14" t="str">
        <x:v>https://dachxiu.chicagobooth.edu/download/datashare.zip</x:v>
      </x:c>
      <x:c r="N9" s="14" t="str">
        <x:v>Gu, Kelly &amp; Xiu Table A.6; dataset-style name uses lower case and underscores where needed.</x:v>
      </x:c>
    </x:row>
    <x:row r="10">
      <x:c r="A10" s="14" t="n">
        <x:v>9</x:v>
      </x:c>
      <x:c r="B10" s="14" t="str">
        <x:v>bm</x:v>
      </x:c>
      <x:c r="C10" s="14" t="str">
        <x:v>bm</x:v>
      </x:c>
      <x:c r="D10" s="14" t="str">
        <x:v>Book-to-market</x:v>
      </x:c>
      <x:c r="E10" s="14" t="str">
        <x:v>账面市值比</x:v>
      </x:c>
      <x:c r="F10" s="14" t="str">
        <x:v>Value</x:v>
      </x:c>
      <x:c r="G10" s="14" t="str">
        <x:v>Rosenberg, Reid &amp; Lanstein</x:v>
      </x:c>
      <x:c r="H10" s="14" t="n">
        <x:v>1985</x:v>
      </x:c>
      <x:c r="I10" s="14" t="str">
        <x:v>JPM</x:v>
      </x:c>
      <x:c r="J10" s="14" t="str">
        <x:v>Compustat+CRSP</x:v>
      </x:c>
      <x:c r="K10" s="14" t="str">
        <x:v>Annual</x:v>
      </x:c>
      <x:c r="L10" s="14" t="str">
        <x:v>https://dachxiu.chicagobooth.edu/download/ML_supp.pdf</x:v>
      </x:c>
      <x:c r="M10" s="14" t="str">
        <x:v>https://dachxiu.chicagobooth.edu/download/datashare.zip</x:v>
      </x:c>
      <x:c r="N10" s="14" t="str">
        <x:v>Gu, Kelly &amp; Xiu Table A.6; dataset-style name uses lower case and underscores where needed.</x:v>
      </x:c>
    </x:row>
    <x:row r="11">
      <x:c r="A11" s="14" t="n">
        <x:v>10</x:v>
      </x:c>
      <x:c r="B11" s="14" t="str">
        <x:v>bm ia</x:v>
      </x:c>
      <x:c r="C11" s="14" t="str">
        <x:v>bm_ia</x:v>
      </x:c>
      <x:c r="D11" s="14" t="str">
        <x:v>Industry-adjusted book to market</x:v>
      </x:c>
      <x:c r="E11" s="14" t="str">
        <x:v>行业调整账面市值比</x:v>
      </x:c>
      <x:c r="F11" s="14" t="str">
        <x:v>Value</x:v>
      </x:c>
      <x:c r="G11" s="14" t="str">
        <x:v>Asness, Porter &amp; Stevens</x:v>
      </x:c>
      <x:c r="H11" s="14" t="n">
        <x:v>2000</x:v>
      </x:c>
      <x:c r="I11" s="14" t="str">
        <x:v>WP</x:v>
      </x:c>
      <x:c r="J11" s="14" t="str">
        <x:v>Compustat+CRSP</x:v>
      </x:c>
      <x:c r="K11" s="14" t="str">
        <x:v>Annual</x:v>
      </x:c>
      <x:c r="L11" s="14" t="str">
        <x:v>https://dachxiu.chicagobooth.edu/download/ML_supp.pdf</x:v>
      </x:c>
      <x:c r="M11" s="14" t="str">
        <x:v>https://dachxiu.chicagobooth.edu/download/datashare.zip</x:v>
      </x:c>
      <x:c r="N11" s="14" t="str">
        <x:v>Gu, Kelly &amp; Xiu Table A.6; dataset-style name uses lower case and underscores where needed.</x:v>
      </x:c>
    </x:row>
    <x:row r="12">
      <x:c r="A12" s="14" t="n">
        <x:v>11</x:v>
      </x:c>
      <x:c r="B12" s="14" t="str">
        <x:v>cash</x:v>
      </x:c>
      <x:c r="C12" s="14" t="str">
        <x:v>cash</x:v>
      </x:c>
      <x:c r="D12" s="14" t="str">
        <x:v>Cash holdings</x:v>
      </x:c>
      <x:c r="E12" s="14" t="str">
        <x:v>现金持有</x:v>
      </x:c>
      <x:c r="F12" s="14" t="str">
        <x:v>Cash / balance sheet</x:v>
      </x:c>
      <x:c r="G12" s="14" t="str">
        <x:v>Palazzo</x:v>
      </x:c>
      <x:c r="H12" s="14" t="n">
        <x:v>2012</x:v>
      </x:c>
      <x:c r="I12" s="14" t="str">
        <x:v>JFE</x:v>
      </x:c>
      <x:c r="J12" s="14" t="str">
        <x:v>Compustat</x:v>
      </x:c>
      <x:c r="K12" s="14" t="str">
        <x:v>Quarterly</x:v>
      </x:c>
      <x:c r="L12" s="14" t="str">
        <x:v>https://dachxiu.chicagobooth.edu/download/ML_supp.pdf</x:v>
      </x:c>
      <x:c r="M12" s="14" t="str">
        <x:v>https://dachxiu.chicagobooth.edu/download/datashare.zip</x:v>
      </x:c>
      <x:c r="N12" s="14" t="str">
        <x:v>Gu, Kelly &amp; Xiu Table A.6; dataset-style name uses lower case and underscores where needed.</x:v>
      </x:c>
    </x:row>
    <x:row r="13">
      <x:c r="A13" s="14" t="n">
        <x:v>12</x:v>
      </x:c>
      <x:c r="B13" s="14" t="str">
        <x:v>cashdebt</x:v>
      </x:c>
      <x:c r="C13" s="14" t="str">
        <x:v>cashdebt</x:v>
      </x:c>
      <x:c r="D13" s="14" t="str">
        <x:v>Cash flow to debt</x:v>
      </x:c>
      <x:c r="E13" s="14" t="str">
        <x:v>现金流债务比</x:v>
      </x:c>
      <x:c r="F13" s="14" t="str">
        <x:v>Debt capacity / solvency</x:v>
      </x:c>
      <x:c r="G13" s="14" t="str">
        <x:v>Ou &amp; Penman</x:v>
      </x:c>
      <x:c r="H13" s="14" t="n">
        <x:v>1989</x:v>
      </x:c>
      <x:c r="I13" s="14" t="str">
        <x:v>JAE</x:v>
      </x:c>
      <x:c r="J13" s="14" t="str">
        <x:v>Compustat</x:v>
      </x:c>
      <x:c r="K13" s="14" t="str">
        <x:v>Annual</x:v>
      </x:c>
      <x:c r="L13" s="14" t="str">
        <x:v>https://dachxiu.chicagobooth.edu/download/ML_supp.pdf</x:v>
      </x:c>
      <x:c r="M13" s="14" t="str">
        <x:v>https://dachxiu.chicagobooth.edu/download/datashare.zip</x:v>
      </x:c>
      <x:c r="N13" s="14" t="str">
        <x:v>Gu, Kelly &amp; Xiu Table A.6; dataset-style name uses lower case and underscores where needed.</x:v>
      </x:c>
    </x:row>
    <x:row r="14">
      <x:c r="A14" s="14" t="n">
        <x:v>13</x:v>
      </x:c>
      <x:c r="B14" s="14" t="str">
        <x:v>cashpr</x:v>
      </x:c>
      <x:c r="C14" s="14" t="str">
        <x:v>cashpr</x:v>
      </x:c>
      <x:c r="D14" s="14" t="str">
        <x:v>Cash productivity</x:v>
      </x:c>
      <x:c r="E14" s="14" t="str">
        <x:v>现金生产率</x:v>
      </x:c>
      <x:c r="F14" s="14" t="str">
        <x:v>Profitability / value</x:v>
      </x:c>
      <x:c r="G14" s="14" t="str">
        <x:v>Chandrashekar &amp; Rao</x:v>
      </x:c>
      <x:c r="H14" s="14" t="n">
        <x:v>2009</x:v>
      </x:c>
      <x:c r="I14" s="14" t="str">
        <x:v>WP</x:v>
      </x:c>
      <x:c r="J14" s="14" t="str">
        <x:v>Compustat</x:v>
      </x:c>
      <x:c r="K14" s="14" t="str">
        <x:v>Annual</x:v>
      </x:c>
      <x:c r="L14" s="14" t="str">
        <x:v>https://dachxiu.chicagobooth.edu/download/ML_supp.pdf</x:v>
      </x:c>
      <x:c r="M14" s="14" t="str">
        <x:v>https://dachxiu.chicagobooth.edu/download/datashare.zip</x:v>
      </x:c>
      <x:c r="N14" s="14" t="str">
        <x:v>Gu, Kelly &amp; Xiu Table A.6; dataset-style name uses lower case and underscores where needed.</x:v>
      </x:c>
    </x:row>
    <x:row r="15">
      <x:c r="A15" s="14" t="n">
        <x:v>14</x:v>
      </x:c>
      <x:c r="B15" s="14" t="str">
        <x:v>cfp</x:v>
      </x:c>
      <x:c r="C15" s="14" t="str">
        <x:v>cfp</x:v>
      </x:c>
      <x:c r="D15" s="14" t="str">
        <x:v>Cash flow to price ratio</x:v>
      </x:c>
      <x:c r="E15" s="14" t="str">
        <x:v>现金流价格比</x:v>
      </x:c>
      <x:c r="F15" s="14" t="str">
        <x:v>Value</x:v>
      </x:c>
      <x:c r="G15" s="14" t="str">
        <x:v>Desai, Rajgopal &amp; Venkatachalam</x:v>
      </x:c>
      <x:c r="H15" s="14" t="n">
        <x:v>2004</x:v>
      </x:c>
      <x:c r="I15" s="14" t="str">
        <x:v>TAR</x:v>
      </x:c>
      <x:c r="J15" s="14" t="str">
        <x:v>Compustat</x:v>
      </x:c>
      <x:c r="K15" s="14" t="str">
        <x:v>Annual</x:v>
      </x:c>
      <x:c r="L15" s="14" t="str">
        <x:v>https://dachxiu.chicagobooth.edu/download/ML_supp.pdf</x:v>
      </x:c>
      <x:c r="M15" s="14" t="str">
        <x:v>https://dachxiu.chicagobooth.edu/download/datashare.zip</x:v>
      </x:c>
      <x:c r="N15" s="14" t="str">
        <x:v>Gu, Kelly &amp; Xiu Table A.6; dataset-style name uses lower case and underscores where needed.</x:v>
      </x:c>
    </x:row>
    <x:row r="16">
      <x:c r="A16" s="14" t="n">
        <x:v>15</x:v>
      </x:c>
      <x:c r="B16" s="14" t="str">
        <x:v>cfp ia</x:v>
      </x:c>
      <x:c r="C16" s="14" t="str">
        <x:v>cfp_ia</x:v>
      </x:c>
      <x:c r="D16" s="14" t="str">
        <x:v>Industry-adjusted cash flow to price ratio</x:v>
      </x:c>
      <x:c r="E16" s="14" t="str">
        <x:v>行业调整现金流价格比</x:v>
      </x:c>
      <x:c r="F16" s="14" t="str">
        <x:v>Value</x:v>
      </x:c>
      <x:c r="G16" s="14" t="str">
        <x:v>Asness, Porter &amp; Stevens</x:v>
      </x:c>
      <x:c r="H16" s="14" t="n">
        <x:v>2000</x:v>
      </x:c>
      <x:c r="I16" s="14" t="str">
        <x:v>WP</x:v>
      </x:c>
      <x:c r="J16" s="14" t="str">
        <x:v>Compustat</x:v>
      </x:c>
      <x:c r="K16" s="14" t="str">
        <x:v>Annual</x:v>
      </x:c>
      <x:c r="L16" s="14" t="str">
        <x:v>https://dachxiu.chicagobooth.edu/download/ML_supp.pdf</x:v>
      </x:c>
      <x:c r="M16" s="14" t="str">
        <x:v>https://dachxiu.chicagobooth.edu/download/datashare.zip</x:v>
      </x:c>
      <x:c r="N16" s="14" t="str">
        <x:v>Gu, Kelly &amp; Xiu Table A.6; dataset-style name uses lower case and underscores where needed.</x:v>
      </x:c>
    </x:row>
    <x:row r="17">
      <x:c r="A17" s="14" t="n">
        <x:v>16</x:v>
      </x:c>
      <x:c r="B17" s="14" t="str">
        <x:v>chatoia</x:v>
      </x:c>
      <x:c r="C17" s="14" t="str">
        <x:v>chatoia</x:v>
      </x:c>
      <x:c r="D17" s="14" t="str">
        <x:v>Industry-adjusted change in asset turnover</x:v>
      </x:c>
      <x:c r="E17" s="14" t="str">
        <x:v>行业调整资产周转率变化</x:v>
      </x:c>
      <x:c r="F17" s="14" t="str">
        <x:v>Operating efficiency</x:v>
      </x:c>
      <x:c r="G17" s="14" t="str">
        <x:v>Soliman</x:v>
      </x:c>
      <x:c r="H17" s="14" t="n">
        <x:v>2008</x:v>
      </x:c>
      <x:c r="I17" s="14" t="str">
        <x:v>TAR</x:v>
      </x:c>
      <x:c r="J17" s="14" t="str">
        <x:v>Compustat</x:v>
      </x:c>
      <x:c r="K17" s="14" t="str">
        <x:v>Annual</x:v>
      </x:c>
      <x:c r="L17" s="14" t="str">
        <x:v>https://dachxiu.chicagobooth.edu/download/ML_supp.pdf</x:v>
      </x:c>
      <x:c r="M17" s="14" t="str">
        <x:v>https://dachxiu.chicagobooth.edu/download/datashare.zip</x:v>
      </x:c>
      <x:c r="N17" s="14" t="str">
        <x:v>Gu, Kelly &amp; Xiu Table A.6; dataset-style name uses lower case and underscores where needed.</x:v>
      </x:c>
    </x:row>
    <x:row r="18">
      <x:c r="A18" s="14" t="n">
        <x:v>17</x:v>
      </x:c>
      <x:c r="B18" s="14" t="str">
        <x:v>chcsho</x:v>
      </x:c>
      <x:c r="C18" s="14" t="str">
        <x:v>chcsho</x:v>
      </x:c>
      <x:c r="D18" s="14" t="str">
        <x:v>Change in shares outstanding</x:v>
      </x:c>
      <x:c r="E18" s="14" t="str">
        <x:v>流通股数变化</x:v>
      </x:c>
      <x:c r="F18" s="14" t="str">
        <x:v>Issuance / financing</x:v>
      </x:c>
      <x:c r="G18" s="14" t="str">
        <x:v>Pontiff &amp; Woodgate</x:v>
      </x:c>
      <x:c r="H18" s="14" t="n">
        <x:v>2008</x:v>
      </x:c>
      <x:c r="I18" s="14" t="str">
        <x:v>JF</x:v>
      </x:c>
      <x:c r="J18" s="14" t="str">
        <x:v>Compustat</x:v>
      </x:c>
      <x:c r="K18" s="14" t="str">
        <x:v>Annual</x:v>
      </x:c>
      <x:c r="L18" s="14" t="str">
        <x:v>https://dachxiu.chicagobooth.edu/download/ML_supp.pdf</x:v>
      </x:c>
      <x:c r="M18" s="14" t="str">
        <x:v>https://dachxiu.chicagobooth.edu/download/datashare.zip</x:v>
      </x:c>
      <x:c r="N18" s="14" t="str">
        <x:v>Gu, Kelly &amp; Xiu Table A.6; dataset-style name uses lower case and underscores where needed.</x:v>
      </x:c>
    </x:row>
    <x:row r="19">
      <x:c r="A19" s="14" t="n">
        <x:v>18</x:v>
      </x:c>
      <x:c r="B19" s="14" t="str">
        <x:v>chempia</x:v>
      </x:c>
      <x:c r="C19" s="14" t="str">
        <x:v>chempia</x:v>
      </x:c>
      <x:c r="D19" s="14" t="str">
        <x:v>Industry-adjusted change in employees</x:v>
      </x:c>
      <x:c r="E19" s="14" t="str">
        <x:v>行业调整员工数变化</x:v>
      </x:c>
      <x:c r="F19" s="14" t="str">
        <x:v>Labor / operating growth</x:v>
      </x:c>
      <x:c r="G19" s="14" t="str">
        <x:v>Asness, Porter &amp; Stevens</x:v>
      </x:c>
      <x:c r="H19" s="14" t="n">
        <x:v>1994</x:v>
      </x:c>
      <x:c r="I19" s="14" t="str">
        <x:v>WP</x:v>
      </x:c>
      <x:c r="J19" s="14" t="str">
        <x:v>Compustat</x:v>
      </x:c>
      <x:c r="K19" s="14" t="str">
        <x:v>Annual</x:v>
      </x:c>
      <x:c r="L19" s="14" t="str">
        <x:v>https://dachxiu.chicagobooth.edu/download/ML_supp.pdf</x:v>
      </x:c>
      <x:c r="M19" s="14" t="str">
        <x:v>https://dachxiu.chicagobooth.edu/download/datashare.zip</x:v>
      </x:c>
      <x:c r="N19" s="14" t="str">
        <x:v>Gu, Kelly &amp; Xiu Table A.6; dataset-style name uses lower case and underscores where needed.</x:v>
      </x:c>
    </x:row>
    <x:row r="20">
      <x:c r="A20" s="14" t="n">
        <x:v>19</x:v>
      </x:c>
      <x:c r="B20" s="14" t="str">
        <x:v>chinv</x:v>
      </x:c>
      <x:c r="C20" s="14" t="str">
        <x:v>chinv</x:v>
      </x:c>
      <x:c r="D20" s="14" t="str">
        <x:v>Change in inventory</x:v>
      </x:c>
      <x:c r="E20" s="14" t="str">
        <x:v>存货变化</x:v>
      </x:c>
      <x:c r="F20" s="14" t="str">
        <x:v>Inventory / investment</x:v>
      </x:c>
      <x:c r="G20" s="14" t="str">
        <x:v>Thomas &amp; Zhang</x:v>
      </x:c>
      <x:c r="H20" s="14" t="n">
        <x:v>2002</x:v>
      </x:c>
      <x:c r="I20" s="14" t="str">
        <x:v>RAS</x:v>
      </x:c>
      <x:c r="J20" s="14" t="str">
        <x:v>Compustat</x:v>
      </x:c>
      <x:c r="K20" s="14" t="str">
        <x:v>Annual</x:v>
      </x:c>
      <x:c r="L20" s="14" t="str">
        <x:v>https://dachxiu.chicagobooth.edu/download/ML_supp.pdf</x:v>
      </x:c>
      <x:c r="M20" s="14" t="str">
        <x:v>https://dachxiu.chicagobooth.edu/download/datashare.zip</x:v>
      </x:c>
      <x:c r="N20" s="14" t="str">
        <x:v>Gu, Kelly &amp; Xiu Table A.6; dataset-style name uses lower case and underscores where needed.</x:v>
      </x:c>
    </x:row>
    <x:row r="21">
      <x:c r="A21" s="14" t="n">
        <x:v>20</x:v>
      </x:c>
      <x:c r="B21" s="14" t="str">
        <x:v>chmom</x:v>
      </x:c>
      <x:c r="C21" s="14" t="str">
        <x:v>chmom</x:v>
      </x:c>
      <x:c r="D21" s="14" t="str">
        <x:v>Change in 6-month momentum</x:v>
      </x:c>
      <x:c r="E21" s="14" t="str">
        <x:v>6个月动量变化</x:v>
      </x:c>
      <x:c r="F21" s="14" t="str">
        <x:v>Momentum</x:v>
      </x:c>
      <x:c r="G21" s="14" t="str">
        <x:v>Gettleman &amp; Marks</x:v>
      </x:c>
      <x:c r="H21" s="14" t="n">
        <x:v>2006</x:v>
      </x:c>
      <x:c r="I21" s="14" t="str">
        <x:v>WP</x:v>
      </x:c>
      <x:c r="J21" s="14" t="str">
        <x:v>CRSP</x:v>
      </x:c>
      <x:c r="K21" s="14" t="str">
        <x:v>Monthly</x:v>
      </x:c>
      <x:c r="L21" s="14" t="str">
        <x:v>https://dachxiu.chicagobooth.edu/download/ML_supp.pdf</x:v>
      </x:c>
      <x:c r="M21" s="14" t="str">
        <x:v>https://dachxiu.chicagobooth.edu/download/datashare.zip</x:v>
      </x:c>
      <x:c r="N21" s="14" t="str">
        <x:v>Gu, Kelly &amp; Xiu Table A.6; dataset-style name uses lower case and underscores where needed.</x:v>
      </x:c>
    </x:row>
    <x:row r="22">
      <x:c r="A22" s="14" t="n">
        <x:v>21</x:v>
      </x:c>
      <x:c r="B22" s="14" t="str">
        <x:v>chpmia</x:v>
      </x:c>
      <x:c r="C22" s="14" t="str">
        <x:v>chpmia</x:v>
      </x:c>
      <x:c r="D22" s="14" t="str">
        <x:v>Industry-adjusted change in profit margin</x:v>
      </x:c>
      <x:c r="E22" s="14" t="str">
        <x:v>行业调整利润率变化</x:v>
      </x:c>
      <x:c r="F22" s="14" t="str">
        <x:v>Profitability</x:v>
      </x:c>
      <x:c r="G22" s="14" t="str">
        <x:v>Soliman</x:v>
      </x:c>
      <x:c r="H22" s="14" t="n">
        <x:v>2008</x:v>
      </x:c>
      <x:c r="I22" s="14" t="str">
        <x:v>TAR</x:v>
      </x:c>
      <x:c r="J22" s="14" t="str">
        <x:v>Compustat</x:v>
      </x:c>
      <x:c r="K22" s="14" t="str">
        <x:v>Annual</x:v>
      </x:c>
      <x:c r="L22" s="14" t="str">
        <x:v>https://dachxiu.chicagobooth.edu/download/ML_supp.pdf</x:v>
      </x:c>
      <x:c r="M22" s="14" t="str">
        <x:v>https://dachxiu.chicagobooth.edu/download/datashare.zip</x:v>
      </x:c>
      <x:c r="N22" s="14" t="str">
        <x:v>Gu, Kelly &amp; Xiu Table A.6; dataset-style name uses lower case and underscores where needed.</x:v>
      </x:c>
    </x:row>
    <x:row r="23">
      <x:c r="A23" s="14" t="n">
        <x:v>22</x:v>
      </x:c>
      <x:c r="B23" s="14" t="str">
        <x:v>chtx</x:v>
      </x:c>
      <x:c r="C23" s="14" t="str">
        <x:v>chtx</x:v>
      </x:c>
      <x:c r="D23" s="14" t="str">
        <x:v>Change in tax expense</x:v>
      </x:c>
      <x:c r="E23" s="14" t="str">
        <x:v>税费变化</x:v>
      </x:c>
      <x:c r="F23" s="14" t="str">
        <x:v>Tax / earnings quality</x:v>
      </x:c>
      <x:c r="G23" s="14" t="str">
        <x:v>Thomas &amp; Zhang</x:v>
      </x:c>
      <x:c r="H23" s="14" t="n">
        <x:v>2011</x:v>
      </x:c>
      <x:c r="I23" s="14" t="str">
        <x:v>JAR</x:v>
      </x:c>
      <x:c r="J23" s="14" t="str">
        <x:v>Compustat</x:v>
      </x:c>
      <x:c r="K23" s="14" t="str">
        <x:v>Quarterly</x:v>
      </x:c>
      <x:c r="L23" s="14" t="str">
        <x:v>https://dachxiu.chicagobooth.edu/download/ML_supp.pdf</x:v>
      </x:c>
      <x:c r="M23" s="14" t="str">
        <x:v>https://dachxiu.chicagobooth.edu/download/datashare.zip</x:v>
      </x:c>
      <x:c r="N23" s="14" t="str">
        <x:v>Gu, Kelly &amp; Xiu Table A.6; dataset-style name uses lower case and underscores where needed.</x:v>
      </x:c>
    </x:row>
    <x:row r="24">
      <x:c r="A24" s="14" t="n">
        <x:v>23</x:v>
      </x:c>
      <x:c r="B24" s="14" t="str">
        <x:v>cinvest</x:v>
      </x:c>
      <x:c r="C24" s="14" t="str">
        <x:v>cinvest</x:v>
      </x:c>
      <x:c r="D24" s="14" t="str">
        <x:v>Corporate investment</x:v>
      </x:c>
      <x:c r="E24" s="14" t="str">
        <x:v>企业投资</x:v>
      </x:c>
      <x:c r="F24" s="14" t="str">
        <x:v>Investment</x:v>
      </x:c>
      <x:c r="G24" s="14" t="str">
        <x:v>Titman, Wei &amp; Xie</x:v>
      </x:c>
      <x:c r="H24" s="14" t="n">
        <x:v>2004</x:v>
      </x:c>
      <x:c r="I24" s="14" t="str">
        <x:v>JFQA</x:v>
      </x:c>
      <x:c r="J24" s="14" t="str">
        <x:v>Compustat</x:v>
      </x:c>
      <x:c r="K24" s="14" t="str">
        <x:v>Quarterly</x:v>
      </x:c>
      <x:c r="L24" s="14" t="str">
        <x:v>https://dachxiu.chicagobooth.edu/download/ML_supp.pdf</x:v>
      </x:c>
      <x:c r="M24" s="14" t="str">
        <x:v>https://dachxiu.chicagobooth.edu/download/datashare.zip</x:v>
      </x:c>
      <x:c r="N24" s="14" t="str">
        <x:v>Gu, Kelly &amp; Xiu Table A.6; dataset-style name uses lower case and underscores where needed.</x:v>
      </x:c>
    </x:row>
    <x:row r="25">
      <x:c r="A25" s="14" t="n">
        <x:v>24</x:v>
      </x:c>
      <x:c r="B25" s="14" t="str">
        <x:v>convind</x:v>
      </x:c>
      <x:c r="C25" s="14" t="str">
        <x:v>convind</x:v>
      </x:c>
      <x:c r="D25" s="14" t="str">
        <x:v>Convertible debt indicator</x:v>
      </x:c>
      <x:c r="E25" s="14" t="str">
        <x:v>可转换债务指标</x:v>
      </x:c>
      <x:c r="F25" s="14" t="str">
        <x:v>Debt structure</x:v>
      </x:c>
      <x:c r="G25" s="14" t="str">
        <x:v>Valta</x:v>
      </x:c>
      <x:c r="H25" s="14" t="n">
        <x:v>2016</x:v>
      </x:c>
      <x:c r="I25" s="14" t="str">
        <x:v>JFQA</x:v>
      </x:c>
      <x:c r="J25" s="14" t="str">
        <x:v>Compustat</x:v>
      </x:c>
      <x:c r="K25" s="14" t="str">
        <x:v>Annual</x:v>
      </x:c>
      <x:c r="L25" s="14" t="str">
        <x:v>https://dachxiu.chicagobooth.edu/download/ML_supp.pdf</x:v>
      </x:c>
      <x:c r="M25" s="14" t="str">
        <x:v>https://dachxiu.chicagobooth.edu/download/datashare.zip</x:v>
      </x:c>
      <x:c r="N25" s="14" t="str">
        <x:v>Gu, Kelly &amp; Xiu Table A.6; dataset-style name uses lower case and underscores where needed.</x:v>
      </x:c>
    </x:row>
    <x:row r="26">
      <x:c r="A26" s="14" t="n">
        <x:v>25</x:v>
      </x:c>
      <x:c r="B26" s="14" t="str">
        <x:v>currat</x:v>
      </x:c>
      <x:c r="C26" s="14" t="str">
        <x:v>currat</x:v>
      </x:c>
      <x:c r="D26" s="14" t="str">
        <x:v>Current ratio</x:v>
      </x:c>
      <x:c r="E26" s="14" t="str">
        <x:v>流动比率</x:v>
      </x:c>
      <x:c r="F26" s="14" t="str">
        <x:v>Liquidity / solvency</x:v>
      </x:c>
      <x:c r="G26" s="14" t="str">
        <x:v>Ou &amp; Penman</x:v>
      </x:c>
      <x:c r="H26" s="14" t="n">
        <x:v>1989</x:v>
      </x:c>
      <x:c r="I26" s="14" t="str">
        <x:v>JAE</x:v>
      </x:c>
      <x:c r="J26" s="14" t="str">
        <x:v>Compustat</x:v>
      </x:c>
      <x:c r="K26" s="14" t="str">
        <x:v>Annual</x:v>
      </x:c>
      <x:c r="L26" s="14" t="str">
        <x:v>https://dachxiu.chicagobooth.edu/download/ML_supp.pdf</x:v>
      </x:c>
      <x:c r="M26" s="14" t="str">
        <x:v>https://dachxiu.chicagobooth.edu/download/datashare.zip</x:v>
      </x:c>
      <x:c r="N26" s="14" t="str">
        <x:v>Gu, Kelly &amp; Xiu Table A.6; dataset-style name uses lower case and underscores where needed.</x:v>
      </x:c>
    </x:row>
    <x:row r="27">
      <x:c r="A27" s="14" t="n">
        <x:v>26</x:v>
      </x:c>
      <x:c r="B27" s="14" t="str">
        <x:v>depr</x:v>
      </x:c>
      <x:c r="C27" s="14" t="str">
        <x:v>depr</x:v>
      </x:c>
      <x:c r="D27" s="14" t="str">
        <x:v>Depreciation / PP&amp;E</x:v>
      </x:c>
      <x:c r="E27" s="14" t="str">
        <x:v>折旧与固定资产比</x:v>
      </x:c>
      <x:c r="F27" s="14" t="str">
        <x:v>Accounting / asset intensity</x:v>
      </x:c>
      <x:c r="G27" s="14" t="str">
        <x:v>Holthausen &amp; Larcker</x:v>
      </x:c>
      <x:c r="H27" s="14" t="n">
        <x:v>1992</x:v>
      </x:c>
      <x:c r="I27" s="14" t="str">
        <x:v>JAE</x:v>
      </x:c>
      <x:c r="J27" s="14" t="str">
        <x:v>Compustat</x:v>
      </x:c>
      <x:c r="K27" s="14" t="str">
        <x:v>Annual</x:v>
      </x:c>
      <x:c r="L27" s="14" t="str">
        <x:v>https://dachxiu.chicagobooth.edu/download/ML_supp.pdf</x:v>
      </x:c>
      <x:c r="M27" s="14" t="str">
        <x:v>https://dachxiu.chicagobooth.edu/download/datashare.zip</x:v>
      </x:c>
      <x:c r="N27" s="14" t="str">
        <x:v>Gu, Kelly &amp; Xiu Table A.6; dataset-style name uses lower case and underscores where needed.</x:v>
      </x:c>
    </x:row>
    <x:row r="28">
      <x:c r="A28" s="14" t="n">
        <x:v>27</x:v>
      </x:c>
      <x:c r="B28" s="14" t="str">
        <x:v>divi</x:v>
      </x:c>
      <x:c r="C28" s="14" t="str">
        <x:v>divi</x:v>
      </x:c>
      <x:c r="D28" s="14" t="str">
        <x:v>Dividend initiation</x:v>
      </x:c>
      <x:c r="E28" s="14" t="str">
        <x:v>开始分红指标</x:v>
      </x:c>
      <x:c r="F28" s="14" t="str">
        <x:v>Payout policy</x:v>
      </x:c>
      <x:c r="G28" s="14" t="str">
        <x:v>Michaely, Thaler &amp; Womack</x:v>
      </x:c>
      <x:c r="H28" s="14" t="n">
        <x:v>1995</x:v>
      </x:c>
      <x:c r="I28" s="14" t="str">
        <x:v>JF</x:v>
      </x:c>
      <x:c r="J28" s="14" t="str">
        <x:v>Compustat</x:v>
      </x:c>
      <x:c r="K28" s="14" t="str">
        <x:v>Annual</x:v>
      </x:c>
      <x:c r="L28" s="14" t="str">
        <x:v>https://dachxiu.chicagobooth.edu/download/ML_supp.pdf</x:v>
      </x:c>
      <x:c r="M28" s="14" t="str">
        <x:v>https://dachxiu.chicagobooth.edu/download/datashare.zip</x:v>
      </x:c>
      <x:c r="N28" s="14" t="str">
        <x:v>Gu, Kelly &amp; Xiu Table A.6; dataset-style name uses lower case and underscores where needed.</x:v>
      </x:c>
    </x:row>
    <x:row r="29">
      <x:c r="A29" s="14" t="n">
        <x:v>28</x:v>
      </x:c>
      <x:c r="B29" s="14" t="str">
        <x:v>divo</x:v>
      </x:c>
      <x:c r="C29" s="14" t="str">
        <x:v>divo</x:v>
      </x:c>
      <x:c r="D29" s="14" t="str">
        <x:v>Dividend omission</x:v>
      </x:c>
      <x:c r="E29" s="14" t="str">
        <x:v>停止分红指标</x:v>
      </x:c>
      <x:c r="F29" s="14" t="str">
        <x:v>Payout policy</x:v>
      </x:c>
      <x:c r="G29" s="14" t="str">
        <x:v>Michaely, Thaler &amp; Womack</x:v>
      </x:c>
      <x:c r="H29" s="14" t="n">
        <x:v>1995</x:v>
      </x:c>
      <x:c r="I29" s="14" t="str">
        <x:v>JF</x:v>
      </x:c>
      <x:c r="J29" s="14" t="str">
        <x:v>Compustat</x:v>
      </x:c>
      <x:c r="K29" s="14" t="str">
        <x:v>Annual</x:v>
      </x:c>
      <x:c r="L29" s="14" t="str">
        <x:v>https://dachxiu.chicagobooth.edu/download/ML_supp.pdf</x:v>
      </x:c>
      <x:c r="M29" s="14" t="str">
        <x:v>https://dachxiu.chicagobooth.edu/download/datashare.zip</x:v>
      </x:c>
      <x:c r="N29" s="14" t="str">
        <x:v>Gu, Kelly &amp; Xiu Table A.6; dataset-style name uses lower case and underscores where needed.</x:v>
      </x:c>
    </x:row>
    <x:row r="30">
      <x:c r="A30" s="14" t="n">
        <x:v>29</x:v>
      </x:c>
      <x:c r="B30" s="14" t="str">
        <x:v>dolvol</x:v>
      </x:c>
      <x:c r="C30" s="14" t="str">
        <x:v>dolvol</x:v>
      </x:c>
      <x:c r="D30" s="14" t="str">
        <x:v>Dollar trading volume</x:v>
      </x:c>
      <x:c r="E30" s="14" t="str">
        <x:v>美元成交额</x:v>
      </x:c>
      <x:c r="F30" s="14" t="str">
        <x:v>Liquidity / trading activity</x:v>
      </x:c>
      <x:c r="G30" s="14" t="str">
        <x:v>Chordia, Subrahmanyam &amp; Anshuman</x:v>
      </x:c>
      <x:c r="H30" s="14" t="n">
        <x:v>2001</x:v>
      </x:c>
      <x:c r="I30" s="14" t="str">
        <x:v>JFE</x:v>
      </x:c>
      <x:c r="J30" s="14" t="str">
        <x:v>CRSP</x:v>
      </x:c>
      <x:c r="K30" s="14" t="str">
        <x:v>Monthly</x:v>
      </x:c>
      <x:c r="L30" s="14" t="str">
        <x:v>https://dachxiu.chicagobooth.edu/download/ML_supp.pdf</x:v>
      </x:c>
      <x:c r="M30" s="14" t="str">
        <x:v>https://dachxiu.chicagobooth.edu/download/datashare.zip</x:v>
      </x:c>
      <x:c r="N30" s="14" t="str">
        <x:v>Gu, Kelly &amp; Xiu Table A.6; dataset-style name uses lower case and underscores where needed.</x:v>
      </x:c>
    </x:row>
    <x:row r="31">
      <x:c r="A31" s="14" t="n">
        <x:v>30</x:v>
      </x:c>
      <x:c r="B31" s="14" t="str">
        <x:v>dy</x:v>
      </x:c>
      <x:c r="C31" s="14" t="str">
        <x:v>dy</x:v>
      </x:c>
      <x:c r="D31" s="14" t="str">
        <x:v>Dividend to price</x:v>
      </x:c>
      <x:c r="E31" s="14" t="str">
        <x:v>股息价格比</x:v>
      </x:c>
      <x:c r="F31" s="14" t="str">
        <x:v>Value / payout</x:v>
      </x:c>
      <x:c r="G31" s="14" t="str">
        <x:v>Litzenberger &amp; Ramaswamy</x:v>
      </x:c>
      <x:c r="H31" s="14" t="n">
        <x:v>1982</x:v>
      </x:c>
      <x:c r="I31" s="14" t="str">
        <x:v>JF</x:v>
      </x:c>
      <x:c r="J31" s="14" t="str">
        <x:v>Compustat</x:v>
      </x:c>
      <x:c r="K31" s="14" t="str">
        <x:v>Annual</x:v>
      </x:c>
      <x:c r="L31" s="14" t="str">
        <x:v>https://dachxiu.chicagobooth.edu/download/ML_supp.pdf</x:v>
      </x:c>
      <x:c r="M31" s="14" t="str">
        <x:v>https://dachxiu.chicagobooth.edu/download/datashare.zip</x:v>
      </x:c>
      <x:c r="N31" s="14" t="str">
        <x:v>Gu, Kelly &amp; Xiu Table A.6; dataset-style name uses lower case and underscores where needed.</x:v>
      </x:c>
    </x:row>
    <x:row r="32">
      <x:c r="A32" s="14" t="n">
        <x:v>31</x:v>
      </x:c>
      <x:c r="B32" s="14" t="str">
        <x:v>ear</x:v>
      </x:c>
      <x:c r="C32" s="14" t="str">
        <x:v>ear</x:v>
      </x:c>
      <x:c r="D32" s="14" t="str">
        <x:v>Earnings announcement return</x:v>
      </x:c>
      <x:c r="E32" s="14" t="str">
        <x:v>盈余公告收益</x:v>
      </x:c>
      <x:c r="F32" s="14" t="str">
        <x:v>Earnings announcement / event</x:v>
      </x:c>
      <x:c r="G32" s="14" t="str">
        <x:v>Kishore, Brandt, Santa-Clara &amp; Venkatachalam</x:v>
      </x:c>
      <x:c r="H32" s="14" t="n">
        <x:v>2008</x:v>
      </x:c>
      <x:c r="I32" s="14" t="str">
        <x:v>WP</x:v>
      </x:c>
      <x:c r="J32" s="14" t="str">
        <x:v>Compustat+CRSP</x:v>
      </x:c>
      <x:c r="K32" s="14" t="str">
        <x:v>Quarterly</x:v>
      </x:c>
      <x:c r="L32" s="14" t="str">
        <x:v>https://dachxiu.chicagobooth.edu/download/ML_supp.pdf</x:v>
      </x:c>
      <x:c r="M32" s="14" t="str">
        <x:v>https://dachxiu.chicagobooth.edu/download/datashare.zip</x:v>
      </x:c>
      <x:c r="N32" s="14" t="str">
        <x:v>Gu, Kelly &amp; Xiu Table A.6; dataset-style name uses lower case and underscores where needed.</x:v>
      </x:c>
    </x:row>
    <x:row r="33">
      <x:c r="A33" s="14" t="n">
        <x:v>32</x:v>
      </x:c>
      <x:c r="B33" s="14" t="str">
        <x:v>egr</x:v>
      </x:c>
      <x:c r="C33" s="14" t="str">
        <x:v>egr</x:v>
      </x:c>
      <x:c r="D33" s="14" t="str">
        <x:v>Growth in common shareholder equity</x:v>
      </x:c>
      <x:c r="E33" s="14" t="str">
        <x:v>普通股股东权益增长</x:v>
      </x:c>
      <x:c r="F33" s="14" t="str">
        <x:v>Growth</x:v>
      </x:c>
      <x:c r="G33" s="14" t="str">
        <x:v>Richardson, Sloan, Soliman &amp; Tuna</x:v>
      </x:c>
      <x:c r="H33" s="14" t="n">
        <x:v>2005</x:v>
      </x:c>
      <x:c r="I33" s="14" t="str">
        <x:v>JAE</x:v>
      </x:c>
      <x:c r="J33" s="14" t="str">
        <x:v>Compustat</x:v>
      </x:c>
      <x:c r="K33" s="14" t="str">
        <x:v>Annual</x:v>
      </x:c>
      <x:c r="L33" s="14" t="str">
        <x:v>https://dachxiu.chicagobooth.edu/download/ML_supp.pdf</x:v>
      </x:c>
      <x:c r="M33" s="14" t="str">
        <x:v>https://dachxiu.chicagobooth.edu/download/datashare.zip</x:v>
      </x:c>
      <x:c r="N33" s="14" t="str">
        <x:v>Gu, Kelly &amp; Xiu Table A.6; dataset-style name uses lower case and underscores where needed.</x:v>
      </x:c>
    </x:row>
    <x:row r="34">
      <x:c r="A34" s="14" t="n">
        <x:v>33</x:v>
      </x:c>
      <x:c r="B34" s="14" t="str">
        <x:v>ep</x:v>
      </x:c>
      <x:c r="C34" s="14" t="str">
        <x:v>ep</x:v>
      </x:c>
      <x:c r="D34" s="14" t="str">
        <x:v>Earnings to price</x:v>
      </x:c>
      <x:c r="E34" s="14" t="str">
        <x:v>盈利价格比</x:v>
      </x:c>
      <x:c r="F34" s="14" t="str">
        <x:v>Value</x:v>
      </x:c>
      <x:c r="G34" s="14" t="str">
        <x:v>Basu</x:v>
      </x:c>
      <x:c r="H34" s="14" t="n">
        <x:v>1977</x:v>
      </x:c>
      <x:c r="I34" s="14" t="str">
        <x:v>JF</x:v>
      </x:c>
      <x:c r="J34" s="14" t="str">
        <x:v>Compustat</x:v>
      </x:c>
      <x:c r="K34" s="14" t="str">
        <x:v>Annual</x:v>
      </x:c>
      <x:c r="L34" s="14" t="str">
        <x:v>https://dachxiu.chicagobooth.edu/download/ML_supp.pdf</x:v>
      </x:c>
      <x:c r="M34" s="14" t="str">
        <x:v>https://dachxiu.chicagobooth.edu/download/datashare.zip</x:v>
      </x:c>
      <x:c r="N34" s="14" t="str">
        <x:v>Gu, Kelly &amp; Xiu Table A.6; dataset-style name uses lower case and underscores where needed.</x:v>
      </x:c>
    </x:row>
    <x:row r="35">
      <x:c r="A35" s="14" t="n">
        <x:v>34</x:v>
      </x:c>
      <x:c r="B35" s="14" t="str">
        <x:v>gma</x:v>
      </x:c>
      <x:c r="C35" s="14" t="str">
        <x:v>gma</x:v>
      </x:c>
      <x:c r="D35" s="14" t="str">
        <x:v>Gross profitability</x:v>
      </x:c>
      <x:c r="E35" s="14" t="str">
        <x:v>毛利率/总资产毛利</x:v>
      </x:c>
      <x:c r="F35" s="14" t="str">
        <x:v>Profitability</x:v>
      </x:c>
      <x:c r="G35" s="14" t="str">
        <x:v>Novy-Marx</x:v>
      </x:c>
      <x:c r="H35" s="14" t="n">
        <x:v>2013</x:v>
      </x:c>
      <x:c r="I35" s="14" t="str">
        <x:v>JFE</x:v>
      </x:c>
      <x:c r="J35" s="14" t="str">
        <x:v>Compustat</x:v>
      </x:c>
      <x:c r="K35" s="14" t="str">
        <x:v>Annual</x:v>
      </x:c>
      <x:c r="L35" s="14" t="str">
        <x:v>https://dachxiu.chicagobooth.edu/download/ML_supp.pdf</x:v>
      </x:c>
      <x:c r="M35" s="14" t="str">
        <x:v>https://dachxiu.chicagobooth.edu/download/datashare.zip</x:v>
      </x:c>
      <x:c r="N35" s="14" t="str">
        <x:v>Gu, Kelly &amp; Xiu Table A.6; dataset-style name uses lower case and underscores where needed.</x:v>
      </x:c>
    </x:row>
    <x:row r="36">
      <x:c r="A36" s="14" t="n">
        <x:v>35</x:v>
      </x:c>
      <x:c r="B36" s="14" t="str">
        <x:v>grCAPX</x:v>
      </x:c>
      <x:c r="C36" s="14" t="str">
        <x:v>grcapx</x:v>
      </x:c>
      <x:c r="D36" s="14" t="str">
        <x:v>Growth in capital expenditures</x:v>
      </x:c>
      <x:c r="E36" s="14" t="str">
        <x:v>资本支出增长</x:v>
      </x:c>
      <x:c r="F36" s="14" t="str">
        <x:v>Investment</x:v>
      </x:c>
      <x:c r="G36" s="14" t="str">
        <x:v>Anderson &amp; Garcia-Feijoo</x:v>
      </x:c>
      <x:c r="H36" s="14" t="n">
        <x:v>2006</x:v>
      </x:c>
      <x:c r="I36" s="14" t="str">
        <x:v>JF</x:v>
      </x:c>
      <x:c r="J36" s="14" t="str">
        <x:v>Compustat</x:v>
      </x:c>
      <x:c r="K36" s="14" t="str">
        <x:v>Annual</x:v>
      </x:c>
      <x:c r="L36" s="14" t="str">
        <x:v>https://dachxiu.chicagobooth.edu/download/ML_supp.pdf</x:v>
      </x:c>
      <x:c r="M36" s="14" t="str">
        <x:v>https://dachxiu.chicagobooth.edu/download/datashare.zip</x:v>
      </x:c>
      <x:c r="N36" s="14" t="str">
        <x:v>Gu, Kelly &amp; Xiu Table A.6; dataset-style name uses lower case and underscores where needed.</x:v>
      </x:c>
    </x:row>
    <x:row r="37">
      <x:c r="A37" s="14" t="n">
        <x:v>36</x:v>
      </x:c>
      <x:c r="B37" s="14" t="str">
        <x:v>grltnoa</x:v>
      </x:c>
      <x:c r="C37" s="14" t="str">
        <x:v>grltnoa</x:v>
      </x:c>
      <x:c r="D37" s="14" t="str">
        <x:v>Growth in long term net operating assets</x:v>
      </x:c>
      <x:c r="E37" s="14" t="str">
        <x:v>长期净经营资产增长</x:v>
      </x:c>
      <x:c r="F37" s="14" t="str">
        <x:v>Investment / operating assets</x:v>
      </x:c>
      <x:c r="G37" s="14" t="str">
        <x:v>Fairfield, Whisenant &amp; Yohn</x:v>
      </x:c>
      <x:c r="H37" s="14" t="n">
        <x:v>2003</x:v>
      </x:c>
      <x:c r="I37" s="14" t="str">
        <x:v>TAR</x:v>
      </x:c>
      <x:c r="J37" s="14" t="str">
        <x:v>Compustat</x:v>
      </x:c>
      <x:c r="K37" s="14" t="str">
        <x:v>Annual</x:v>
      </x:c>
      <x:c r="L37" s="14" t="str">
        <x:v>https://dachxiu.chicagobooth.edu/download/ML_supp.pdf</x:v>
      </x:c>
      <x:c r="M37" s="14" t="str">
        <x:v>https://dachxiu.chicagobooth.edu/download/datashare.zip</x:v>
      </x:c>
      <x:c r="N37" s="14" t="str">
        <x:v>Gu, Kelly &amp; Xiu Table A.6; dataset-style name uses lower case and underscores where needed.</x:v>
      </x:c>
    </x:row>
    <x:row r="38">
      <x:c r="A38" s="14" t="n">
        <x:v>37</x:v>
      </x:c>
      <x:c r="B38" s="14" t="str">
        <x:v>herf</x:v>
      </x:c>
      <x:c r="C38" s="14" t="str">
        <x:v>herf</x:v>
      </x:c>
      <x:c r="D38" s="14" t="str">
        <x:v>Industry sales concentration</x:v>
      </x:c>
      <x:c r="E38" s="14" t="str">
        <x:v>行业销售集中度</x:v>
      </x:c>
      <x:c r="F38" s="14" t="str">
        <x:v>Industry structure</x:v>
      </x:c>
      <x:c r="G38" s="14" t="str">
        <x:v>Hou &amp; Robinson</x:v>
      </x:c>
      <x:c r="H38" s="14" t="n">
        <x:v>2006</x:v>
      </x:c>
      <x:c r="I38" s="14" t="str">
        <x:v>JF</x:v>
      </x:c>
      <x:c r="J38" s="14" t="str">
        <x:v>Compustat</x:v>
      </x:c>
      <x:c r="K38" s="14" t="str">
        <x:v>Annual</x:v>
      </x:c>
      <x:c r="L38" s="14" t="str">
        <x:v>https://dachxiu.chicagobooth.edu/download/ML_supp.pdf</x:v>
      </x:c>
      <x:c r="M38" s="14" t="str">
        <x:v>https://dachxiu.chicagobooth.edu/download/datashare.zip</x:v>
      </x:c>
      <x:c r="N38" s="14" t="str">
        <x:v>Gu, Kelly &amp; Xiu Table A.6; dataset-style name uses lower case and underscores where needed.</x:v>
      </x:c>
    </x:row>
    <x:row r="39">
      <x:c r="A39" s="14" t="n">
        <x:v>38</x:v>
      </x:c>
      <x:c r="B39" s="14" t="str">
        <x:v>hire</x:v>
      </x:c>
      <x:c r="C39" s="14" t="str">
        <x:v>hire</x:v>
      </x:c>
      <x:c r="D39" s="14" t="str">
        <x:v>Employee growth rate</x:v>
      </x:c>
      <x:c r="E39" s="14" t="str">
        <x:v>员工增长率</x:v>
      </x:c>
      <x:c r="F39" s="14" t="str">
        <x:v>Labor / operating growth</x:v>
      </x:c>
      <x:c r="G39" s="14" t="str">
        <x:v>Bazdresch, Belo &amp; Lin</x:v>
      </x:c>
      <x:c r="H39" s="14" t="n">
        <x:v>2014</x:v>
      </x:c>
      <x:c r="I39" s="14" t="str">
        <x:v>JPE</x:v>
      </x:c>
      <x:c r="J39" s="14" t="str">
        <x:v>Compustat</x:v>
      </x:c>
      <x:c r="K39" s="14" t="str">
        <x:v>Annual</x:v>
      </x:c>
      <x:c r="L39" s="14" t="str">
        <x:v>https://dachxiu.chicagobooth.edu/download/ML_supp.pdf</x:v>
      </x:c>
      <x:c r="M39" s="14" t="str">
        <x:v>https://dachxiu.chicagobooth.edu/download/datashare.zip</x:v>
      </x:c>
      <x:c r="N39" s="14" t="str">
        <x:v>Gu, Kelly &amp; Xiu Table A.6; dataset-style name uses lower case and underscores where needed.</x:v>
      </x:c>
    </x:row>
    <x:row r="40">
      <x:c r="A40" s="14" t="n">
        <x:v>39</x:v>
      </x:c>
      <x:c r="B40" s="14" t="str">
        <x:v>idiovol</x:v>
      </x:c>
      <x:c r="C40" s="14" t="str">
        <x:v>idiovol</x:v>
      </x:c>
      <x:c r="D40" s="14" t="str">
        <x:v>Idiosyncratic return volatility</x:v>
      </x:c>
      <x:c r="E40" s="14" t="str">
        <x:v>特质收益波动率</x:v>
      </x:c>
      <x:c r="F40" s="14" t="str">
        <x:v>Volatility / risk</x:v>
      </x:c>
      <x:c r="G40" s="14" t="str">
        <x:v>Ali, Hwang &amp; Trombley</x:v>
      </x:c>
      <x:c r="H40" s="14" t="n">
        <x:v>2003</x:v>
      </x:c>
      <x:c r="I40" s="14" t="str">
        <x:v>JFE</x:v>
      </x:c>
      <x:c r="J40" s="14" t="str">
        <x:v>CRSP</x:v>
      </x:c>
      <x:c r="K40" s="14" t="str">
        <x:v>Monthly</x:v>
      </x:c>
      <x:c r="L40" s="14" t="str">
        <x:v>https://dachxiu.chicagobooth.edu/download/ML_supp.pdf</x:v>
      </x:c>
      <x:c r="M40" s="14" t="str">
        <x:v>https://dachxiu.chicagobooth.edu/download/datashare.zip</x:v>
      </x:c>
      <x:c r="N40" s="14" t="str">
        <x:v>Gu, Kelly &amp; Xiu Table A.6; dataset-style name uses lower case and underscores where needed.</x:v>
      </x:c>
    </x:row>
    <x:row r="41">
      <x:c r="A41" s="14" t="n">
        <x:v>40</x:v>
      </x:c>
      <x:c r="B41" s="14" t="str">
        <x:v>ill</x:v>
      </x:c>
      <x:c r="C41" s="14" t="str">
        <x:v>ill</x:v>
      </x:c>
      <x:c r="D41" s="14" t="str">
        <x:v>Illiquidity</x:v>
      </x:c>
      <x:c r="E41" s="14" t="str">
        <x:v>非流动性</x:v>
      </x:c>
      <x:c r="F41" s="14" t="str">
        <x:v>Liquidity</x:v>
      </x:c>
      <x:c r="G41" s="14" t="str">
        <x:v>Amihud</x:v>
      </x:c>
      <x:c r="H41" s="14" t="n">
        <x:v>2002</x:v>
      </x:c>
      <x:c r="I41" s="14" t="str">
        <x:v>JFM</x:v>
      </x:c>
      <x:c r="J41" s="14" t="str">
        <x:v>CRSP</x:v>
      </x:c>
      <x:c r="K41" s="14" t="str">
        <x:v>Monthly</x:v>
      </x:c>
      <x:c r="L41" s="14" t="str">
        <x:v>https://dachxiu.chicagobooth.edu/download/ML_supp.pdf</x:v>
      </x:c>
      <x:c r="M41" s="14" t="str">
        <x:v>https://dachxiu.chicagobooth.edu/download/datashare.zip</x:v>
      </x:c>
      <x:c r="N41" s="14" t="str">
        <x:v>Gu, Kelly &amp; Xiu Table A.6; dataset-style name uses lower case and underscores where needed.</x:v>
      </x:c>
    </x:row>
    <x:row r="42">
      <x:c r="A42" s="14" t="n">
        <x:v>41</x:v>
      </x:c>
      <x:c r="B42" s="14" t="str">
        <x:v>indmom</x:v>
      </x:c>
      <x:c r="C42" s="14" t="str">
        <x:v>indmom</x:v>
      </x:c>
      <x:c r="D42" s="14" t="str">
        <x:v>Industry momentum</x:v>
      </x:c>
      <x:c r="E42" s="14" t="str">
        <x:v>行业动量</x:v>
      </x:c>
      <x:c r="F42" s="14" t="str">
        <x:v>Momentum</x:v>
      </x:c>
      <x:c r="G42" s="14" t="str">
        <x:v>Moskowitz &amp; Grinblatt</x:v>
      </x:c>
      <x:c r="H42" s="14" t="n">
        <x:v>1999</x:v>
      </x:c>
      <x:c r="I42" s="14" t="str">
        <x:v>JF</x:v>
      </x:c>
      <x:c r="J42" s="14" t="str">
        <x:v>CRSP</x:v>
      </x:c>
      <x:c r="K42" s="14" t="str">
        <x:v>Monthly</x:v>
      </x:c>
      <x:c r="L42" s="14" t="str">
        <x:v>https://dachxiu.chicagobooth.edu/download/ML_supp.pdf</x:v>
      </x:c>
      <x:c r="M42" s="14" t="str">
        <x:v>https://dachxiu.chicagobooth.edu/download/datashare.zip</x:v>
      </x:c>
      <x:c r="N42" s="14" t="str">
        <x:v>Gu, Kelly &amp; Xiu Table A.6; dataset-style name uses lower case and underscores where needed.</x:v>
      </x:c>
    </x:row>
    <x:row r="43">
      <x:c r="A43" s="14" t="n">
        <x:v>42</x:v>
      </x:c>
      <x:c r="B43" s="14" t="str">
        <x:v>invest</x:v>
      </x:c>
      <x:c r="C43" s="14" t="str">
        <x:v>invest</x:v>
      </x:c>
      <x:c r="D43" s="14" t="str">
        <x:v>Capital expenditures and inventory</x:v>
      </x:c>
      <x:c r="E43" s="14" t="str">
        <x:v>资本支出与存货投资</x:v>
      </x:c>
      <x:c r="F43" s="14" t="str">
        <x:v>Investment</x:v>
      </x:c>
      <x:c r="G43" s="14" t="str">
        <x:v>Chen &amp; Zhang</x:v>
      </x:c>
      <x:c r="H43" s="14" t="n">
        <x:v>2010</x:v>
      </x:c>
      <x:c r="I43" s="14" t="str">
        <x:v>JF</x:v>
      </x:c>
      <x:c r="J43" s="14" t="str">
        <x:v>Compustat</x:v>
      </x:c>
      <x:c r="K43" s="14" t="str">
        <x:v>Annual</x:v>
      </x:c>
      <x:c r="L43" s="14" t="str">
        <x:v>https://dachxiu.chicagobooth.edu/download/ML_supp.pdf</x:v>
      </x:c>
      <x:c r="M43" s="14" t="str">
        <x:v>https://dachxiu.chicagobooth.edu/download/datashare.zip</x:v>
      </x:c>
      <x:c r="N43" s="14" t="str">
        <x:v>Gu, Kelly &amp; Xiu Table A.6; dataset-style name uses lower case and underscores where needed.</x:v>
      </x:c>
    </x:row>
    <x:row r="44">
      <x:c r="A44" s="14" t="n">
        <x:v>43</x:v>
      </x:c>
      <x:c r="B44" s="14" t="str">
        <x:v>lev</x:v>
      </x:c>
      <x:c r="C44" s="14" t="str">
        <x:v>lev</x:v>
      </x:c>
      <x:c r="D44" s="14" t="str">
        <x:v>Leverage</x:v>
      </x:c>
      <x:c r="E44" s="14" t="str">
        <x:v>杠杆率</x:v>
      </x:c>
      <x:c r="F44" s="14" t="str">
        <x:v>Leverage</x:v>
      </x:c>
      <x:c r="G44" s="14" t="str">
        <x:v>Bhandari</x:v>
      </x:c>
      <x:c r="H44" s="14" t="n">
        <x:v>1988</x:v>
      </x:c>
      <x:c r="I44" s="14" t="str">
        <x:v>JF</x:v>
      </x:c>
      <x:c r="J44" s="14" t="str">
        <x:v>Compustat</x:v>
      </x:c>
      <x:c r="K44" s="14" t="str">
        <x:v>Annual</x:v>
      </x:c>
      <x:c r="L44" s="14" t="str">
        <x:v>https://dachxiu.chicagobooth.edu/download/ML_supp.pdf</x:v>
      </x:c>
      <x:c r="M44" s="14" t="str">
        <x:v>https://dachxiu.chicagobooth.edu/download/datashare.zip</x:v>
      </x:c>
      <x:c r="N44" s="14" t="str">
        <x:v>Gu, Kelly &amp; Xiu Table A.6; dataset-style name uses lower case and underscores where needed.</x:v>
      </x:c>
    </x:row>
    <x:row r="45">
      <x:c r="A45" s="14" t="n">
        <x:v>44</x:v>
      </x:c>
      <x:c r="B45" s="14" t="str">
        <x:v>lgr</x:v>
      </x:c>
      <x:c r="C45" s="14" t="str">
        <x:v>lgr</x:v>
      </x:c>
      <x:c r="D45" s="14" t="str">
        <x:v>Growth in long-term debt</x:v>
      </x:c>
      <x:c r="E45" s="14" t="str">
        <x:v>长期债务增长</x:v>
      </x:c>
      <x:c r="F45" s="14" t="str">
        <x:v>Leverage / financing</x:v>
      </x:c>
      <x:c r="G45" s="14" t="str">
        <x:v>Richardson, Sloan, Soliman &amp; Tuna</x:v>
      </x:c>
      <x:c r="H45" s="14" t="n">
        <x:v>2005</x:v>
      </x:c>
      <x:c r="I45" s="14" t="str">
        <x:v>JAE</x:v>
      </x:c>
      <x:c r="J45" s="14" t="str">
        <x:v>Compustat</x:v>
      </x:c>
      <x:c r="K45" s="14" t="str">
        <x:v>Annual</x:v>
      </x:c>
      <x:c r="L45" s="14" t="str">
        <x:v>https://dachxiu.chicagobooth.edu/download/ML_supp.pdf</x:v>
      </x:c>
      <x:c r="M45" s="14" t="str">
        <x:v>https://dachxiu.chicagobooth.edu/download/datashare.zip</x:v>
      </x:c>
      <x:c r="N45" s="14" t="str">
        <x:v>Gu, Kelly &amp; Xiu Table A.6; dataset-style name uses lower case and underscores where needed.</x:v>
      </x:c>
    </x:row>
    <x:row r="46">
      <x:c r="A46" s="14" t="n">
        <x:v>45</x:v>
      </x:c>
      <x:c r="B46" s="14" t="str">
        <x:v>maxret</x:v>
      </x:c>
      <x:c r="C46" s="14" t="str">
        <x:v>maxret</x:v>
      </x:c>
      <x:c r="D46" s="14" t="str">
        <x:v>Maximum daily return</x:v>
      </x:c>
      <x:c r="E46" s="14" t="str">
        <x:v>最大日收益</x:v>
      </x:c>
      <x:c r="F46" s="14" t="str">
        <x:v>Extreme return / lottery</x:v>
      </x:c>
      <x:c r="G46" s="14" t="str">
        <x:v>Bali, Cakici &amp; Whitelaw</x:v>
      </x:c>
      <x:c r="H46" s="14" t="n">
        <x:v>2011</x:v>
      </x:c>
      <x:c r="I46" s="14" t="str">
        <x:v>JFE</x:v>
      </x:c>
      <x:c r="J46" s="14" t="str">
        <x:v>CRSP</x:v>
      </x:c>
      <x:c r="K46" s="14" t="str">
        <x:v>Monthly</x:v>
      </x:c>
      <x:c r="L46" s="14" t="str">
        <x:v>https://dachxiu.chicagobooth.edu/download/ML_supp.pdf</x:v>
      </x:c>
      <x:c r="M46" s="14" t="str">
        <x:v>https://dachxiu.chicagobooth.edu/download/datashare.zip</x:v>
      </x:c>
      <x:c r="N46" s="14" t="str">
        <x:v>Gu, Kelly &amp; Xiu Table A.6; dataset-style name uses lower case and underscores where needed.</x:v>
      </x:c>
    </x:row>
    <x:row r="47">
      <x:c r="A47" s="14" t="n">
        <x:v>46</x:v>
      </x:c>
      <x:c r="B47" s="14" t="str">
        <x:v>mom12m</x:v>
      </x:c>
      <x:c r="C47" s="14" t="str">
        <x:v>mom12m</x:v>
      </x:c>
      <x:c r="D47" s="14" t="str">
        <x:v>12-month momentum</x:v>
      </x:c>
      <x:c r="E47" s="14" t="str">
        <x:v>12个月动量</x:v>
      </x:c>
      <x:c r="F47" s="14" t="str">
        <x:v>Momentum</x:v>
      </x:c>
      <x:c r="G47" s="14" t="str">
        <x:v>Jegadeesh</x:v>
      </x:c>
      <x:c r="H47" s="14" t="n">
        <x:v>1990</x:v>
      </x:c>
      <x:c r="I47" s="14" t="str">
        <x:v>JF</x:v>
      </x:c>
      <x:c r="J47" s="14" t="str">
        <x:v>CRSP</x:v>
      </x:c>
      <x:c r="K47" s="14" t="str">
        <x:v>Monthly</x:v>
      </x:c>
      <x:c r="L47" s="14" t="str">
        <x:v>https://dachxiu.chicagobooth.edu/download/ML_supp.pdf</x:v>
      </x:c>
      <x:c r="M47" s="14" t="str">
        <x:v>https://dachxiu.chicagobooth.edu/download/datashare.zip</x:v>
      </x:c>
      <x:c r="N47" s="14" t="str">
        <x:v>Gu, Kelly &amp; Xiu Table A.6; dataset-style name uses lower case and underscores where needed.</x:v>
      </x:c>
    </x:row>
    <x:row r="48">
      <x:c r="A48" s="14" t="n">
        <x:v>47</x:v>
      </x:c>
      <x:c r="B48" s="14" t="str">
        <x:v>mom1m</x:v>
      </x:c>
      <x:c r="C48" s="14" t="str">
        <x:v>mom1m</x:v>
      </x:c>
      <x:c r="D48" s="14" t="str">
        <x:v>1-month momentum</x:v>
      </x:c>
      <x:c r="E48" s="14" t="str">
        <x:v>1个月动量/短期反转</x:v>
      </x:c>
      <x:c r="F48" s="14" t="str">
        <x:v>Momentum / reversal</x:v>
      </x:c>
      <x:c r="G48" s="14" t="str">
        <x:v>Jegadeesh &amp; Titman</x:v>
      </x:c>
      <x:c r="H48" s="14" t="n">
        <x:v>1993</x:v>
      </x:c>
      <x:c r="I48" s="14" t="str">
        <x:v>JF</x:v>
      </x:c>
      <x:c r="J48" s="14" t="str">
        <x:v>CRSP</x:v>
      </x:c>
      <x:c r="K48" s="14" t="str">
        <x:v>Monthly</x:v>
      </x:c>
      <x:c r="L48" s="14" t="str">
        <x:v>https://dachxiu.chicagobooth.edu/download/ML_supp.pdf</x:v>
      </x:c>
      <x:c r="M48" s="14" t="str">
        <x:v>https://dachxiu.chicagobooth.edu/download/datashare.zip</x:v>
      </x:c>
      <x:c r="N48" s="14" t="str">
        <x:v>Gu, Kelly &amp; Xiu Table A.6; dataset-style name uses lower case and underscores where needed.</x:v>
      </x:c>
    </x:row>
    <x:row r="49">
      <x:c r="A49" s="14" t="n">
        <x:v>48</x:v>
      </x:c>
      <x:c r="B49" s="14" t="str">
        <x:v>mom36m</x:v>
      </x:c>
      <x:c r="C49" s="14" t="str">
        <x:v>mom36m</x:v>
      </x:c>
      <x:c r="D49" s="14" t="str">
        <x:v>36-month momentum</x:v>
      </x:c>
      <x:c r="E49" s="14" t="str">
        <x:v>36个月动量/长期反转</x:v>
      </x:c>
      <x:c r="F49" s="14" t="str">
        <x:v>Momentum / reversal</x:v>
      </x:c>
      <x:c r="G49" s="14" t="str">
        <x:v>Jegadeesh &amp; Titman</x:v>
      </x:c>
      <x:c r="H49" s="14" t="n">
        <x:v>1993</x:v>
      </x:c>
      <x:c r="I49" s="14" t="str">
        <x:v>JF</x:v>
      </x:c>
      <x:c r="J49" s="14" t="str">
        <x:v>CRSP</x:v>
      </x:c>
      <x:c r="K49" s="14" t="str">
        <x:v>Monthly</x:v>
      </x:c>
      <x:c r="L49" s="14" t="str">
        <x:v>https://dachxiu.chicagobooth.edu/download/ML_supp.pdf</x:v>
      </x:c>
      <x:c r="M49" s="14" t="str">
        <x:v>https://dachxiu.chicagobooth.edu/download/datashare.zip</x:v>
      </x:c>
      <x:c r="N49" s="14" t="str">
        <x:v>Gu, Kelly &amp; Xiu Table A.6; dataset-style name uses lower case and underscores where needed.</x:v>
      </x:c>
    </x:row>
    <x:row r="50">
      <x:c r="A50" s="14" t="n">
        <x:v>49</x:v>
      </x:c>
      <x:c r="B50" s="14" t="str">
        <x:v>mom6m</x:v>
      </x:c>
      <x:c r="C50" s="14" t="str">
        <x:v>mom6m</x:v>
      </x:c>
      <x:c r="D50" s="14" t="str">
        <x:v>6-month momentum</x:v>
      </x:c>
      <x:c r="E50" s="14" t="str">
        <x:v>6个月动量</x:v>
      </x:c>
      <x:c r="F50" s="14" t="str">
        <x:v>Momentum</x:v>
      </x:c>
      <x:c r="G50" s="14" t="str">
        <x:v>Jegadeesh &amp; Titman</x:v>
      </x:c>
      <x:c r="H50" s="14" t="n">
        <x:v>1993</x:v>
      </x:c>
      <x:c r="I50" s="14" t="str">
        <x:v>JF</x:v>
      </x:c>
      <x:c r="J50" s="14" t="str">
        <x:v>CRSP</x:v>
      </x:c>
      <x:c r="K50" s="14" t="str">
        <x:v>Monthly</x:v>
      </x:c>
      <x:c r="L50" s="14" t="str">
        <x:v>https://dachxiu.chicagobooth.edu/download/ML_supp.pdf</x:v>
      </x:c>
      <x:c r="M50" s="14" t="str">
        <x:v>https://dachxiu.chicagobooth.edu/download/datashare.zip</x:v>
      </x:c>
      <x:c r="N50" s="14" t="str">
        <x:v>Gu, Kelly &amp; Xiu Table A.6; dataset-style name uses lower case and underscores where needed.</x:v>
      </x:c>
    </x:row>
    <x:row r="51">
      <x:c r="A51" s="14" t="n">
        <x:v>50</x:v>
      </x:c>
      <x:c r="B51" s="14" t="str">
        <x:v>ms</x:v>
      </x:c>
      <x:c r="C51" s="14" t="str">
        <x:v>ms</x:v>
      </x:c>
      <x:c r="D51" s="14" t="str">
        <x:v>Financial statement score</x:v>
      </x:c>
      <x:c r="E51" s="14" t="str">
        <x:v>财务报表评分</x:v>
      </x:c>
      <x:c r="F51" s="14" t="str">
        <x:v>Accounting score / quality</x:v>
      </x:c>
      <x:c r="G51" s="14" t="str">
        <x:v>Mohanram</x:v>
      </x:c>
      <x:c r="H51" s="14" t="n">
        <x:v>2005</x:v>
      </x:c>
      <x:c r="I51" s="14" t="str">
        <x:v>RAS</x:v>
      </x:c>
      <x:c r="J51" s="14" t="str">
        <x:v>Compustat</x:v>
      </x:c>
      <x:c r="K51" s="14" t="str">
        <x:v>Quarterly</x:v>
      </x:c>
      <x:c r="L51" s="14" t="str">
        <x:v>https://dachxiu.chicagobooth.edu/download/ML_supp.pdf</x:v>
      </x:c>
      <x:c r="M51" s="14" t="str">
        <x:v>https://dachxiu.chicagobooth.edu/download/datashare.zip</x:v>
      </x:c>
      <x:c r="N51" s="14" t="str">
        <x:v>Gu, Kelly &amp; Xiu Table A.6; dataset-style name uses lower case and underscores where needed.</x:v>
      </x:c>
    </x:row>
    <x:row r="52">
      <x:c r="A52" s="14" t="n">
        <x:v>51</x:v>
      </x:c>
      <x:c r="B52" s="14" t="str">
        <x:v>mvel1</x:v>
      </x:c>
      <x:c r="C52" s="14" t="str">
        <x:v>mvel1</x:v>
      </x:c>
      <x:c r="D52" s="14" t="str">
        <x:v>Size</x:v>
      </x:c>
      <x:c r="E52" s="14" t="str">
        <x:v>规模/市值</x:v>
      </x:c>
      <x:c r="F52" s="14" t="str">
        <x:v>Size</x:v>
      </x:c>
      <x:c r="G52" s="14" t="str">
        <x:v>Banz</x:v>
      </x:c>
      <x:c r="H52" s="14" t="n">
        <x:v>1981</x:v>
      </x:c>
      <x:c r="I52" s="14" t="str">
        <x:v>JFE</x:v>
      </x:c>
      <x:c r="J52" s="14" t="str">
        <x:v>CRSP</x:v>
      </x:c>
      <x:c r="K52" s="14" t="str">
        <x:v>Monthly</x:v>
      </x:c>
      <x:c r="L52" s="14" t="str">
        <x:v>https://dachxiu.chicagobooth.edu/download/ML_supp.pdf</x:v>
      </x:c>
      <x:c r="M52" s="14" t="str">
        <x:v>https://dachxiu.chicagobooth.edu/download/datashare.zip</x:v>
      </x:c>
      <x:c r="N52" s="14" t="str">
        <x:v>Gu, Kelly &amp; Xiu Table A.6; dataset-style name uses lower case and underscores where needed.</x:v>
      </x:c>
    </x:row>
    <x:row r="53">
      <x:c r="A53" s="14" t="n">
        <x:v>52</x:v>
      </x:c>
      <x:c r="B53" s="14" t="str">
        <x:v>mve ia</x:v>
      </x:c>
      <x:c r="C53" s="14" t="str">
        <x:v>mve_ia</x:v>
      </x:c>
      <x:c r="D53" s="14" t="str">
        <x:v>Industry-adjusted size</x:v>
      </x:c>
      <x:c r="E53" s="14" t="str">
        <x:v>行业调整规模</x:v>
      </x:c>
      <x:c r="F53" s="14" t="str">
        <x:v>Size</x:v>
      </x:c>
      <x:c r="G53" s="14" t="str">
        <x:v>Asness, Porter &amp; Stevens</x:v>
      </x:c>
      <x:c r="H53" s="14" t="n">
        <x:v>2000</x:v>
      </x:c>
      <x:c r="I53" s="14" t="str">
        <x:v>WP</x:v>
      </x:c>
      <x:c r="J53" s="14" t="str">
        <x:v>Compustat</x:v>
      </x:c>
      <x:c r="K53" s="14" t="str">
        <x:v>Annual</x:v>
      </x:c>
      <x:c r="L53" s="14" t="str">
        <x:v>https://dachxiu.chicagobooth.edu/download/ML_supp.pdf</x:v>
      </x:c>
      <x:c r="M53" s="14" t="str">
        <x:v>https://dachxiu.chicagobooth.edu/download/datashare.zip</x:v>
      </x:c>
      <x:c r="N53" s="14" t="str">
        <x:v>Gu, Kelly &amp; Xiu Table A.6; dataset-style name uses lower case and underscores where needed.</x:v>
      </x:c>
    </x:row>
    <x:row r="54">
      <x:c r="A54" s="14" t="n">
        <x:v>53</x:v>
      </x:c>
      <x:c r="B54" s="14" t="str">
        <x:v>nincr</x:v>
      </x:c>
      <x:c r="C54" s="14" t="str">
        <x:v>nincr</x:v>
      </x:c>
      <x:c r="D54" s="14" t="str">
        <x:v>Number of earnings increases</x:v>
      </x:c>
      <x:c r="E54" s="14" t="str">
        <x:v>连续盈利增长次数</x:v>
      </x:c>
      <x:c r="F54" s="14" t="str">
        <x:v>Earnings quality</x:v>
      </x:c>
      <x:c r="G54" s="14" t="str">
        <x:v>Barth, Elliott &amp; Finn</x:v>
      </x:c>
      <x:c r="H54" s="14" t="n">
        <x:v>1999</x:v>
      </x:c>
      <x:c r="I54" s="14" t="str">
        <x:v>JAR</x:v>
      </x:c>
      <x:c r="J54" s="14" t="str">
        <x:v>Compustat</x:v>
      </x:c>
      <x:c r="K54" s="14" t="str">
        <x:v>Quarterly</x:v>
      </x:c>
      <x:c r="L54" s="14" t="str">
        <x:v>https://dachxiu.chicagobooth.edu/download/ML_supp.pdf</x:v>
      </x:c>
      <x:c r="M54" s="14" t="str">
        <x:v>https://dachxiu.chicagobooth.edu/download/datashare.zip</x:v>
      </x:c>
      <x:c r="N54" s="14" t="str">
        <x:v>Gu, Kelly &amp; Xiu Table A.6; dataset-style name uses lower case and underscores where needed.</x:v>
      </x:c>
    </x:row>
    <x:row r="55">
      <x:c r="A55" s="14" t="n">
        <x:v>54</x:v>
      </x:c>
      <x:c r="B55" s="14" t="str">
        <x:v>operprof</x:v>
      </x:c>
      <x:c r="C55" s="14" t="str">
        <x:v>operprof</x:v>
      </x:c>
      <x:c r="D55" s="14" t="str">
        <x:v>Operating profitability</x:v>
      </x:c>
      <x:c r="E55" s="14" t="str">
        <x:v>经营盈利能力</x:v>
      </x:c>
      <x:c r="F55" s="14" t="str">
        <x:v>Profitability</x:v>
      </x:c>
      <x:c r="G55" s="14" t="str">
        <x:v>Fama &amp; French</x:v>
      </x:c>
      <x:c r="H55" s="14" t="n">
        <x:v>2015</x:v>
      </x:c>
      <x:c r="I55" s="14" t="str">
        <x:v>JFE</x:v>
      </x:c>
      <x:c r="J55" s="14" t="str">
        <x:v>Compustat</x:v>
      </x:c>
      <x:c r="K55" s="14" t="str">
        <x:v>Annual</x:v>
      </x:c>
      <x:c r="L55" s="14" t="str">
        <x:v>https://dachxiu.chicagobooth.edu/download/ML_supp.pdf</x:v>
      </x:c>
      <x:c r="M55" s="14" t="str">
        <x:v>https://dachxiu.chicagobooth.edu/download/datashare.zip</x:v>
      </x:c>
      <x:c r="N55" s="14" t="str">
        <x:v>Gu, Kelly &amp; Xiu Table A.6; dataset-style name uses lower case and underscores where needed.</x:v>
      </x:c>
    </x:row>
    <x:row r="56">
      <x:c r="A56" s="14" t="n">
        <x:v>55</x:v>
      </x:c>
      <x:c r="B56" s="14" t="str">
        <x:v>orgcap</x:v>
      </x:c>
      <x:c r="C56" s="14" t="str">
        <x:v>orgcap</x:v>
      </x:c>
      <x:c r="D56" s="14" t="str">
        <x:v>Organizational capital</x:v>
      </x:c>
      <x:c r="E56" s="14" t="str">
        <x:v>组织资本</x:v>
      </x:c>
      <x:c r="F56" s="14" t="str">
        <x:v>Intangible capital</x:v>
      </x:c>
      <x:c r="G56" s="14" t="str">
        <x:v>Eisfeldt &amp; Papanikolaou</x:v>
      </x:c>
      <x:c r="H56" s="14" t="n">
        <x:v>2013</x:v>
      </x:c>
      <x:c r="I56" s="14" t="str">
        <x:v>JF</x:v>
      </x:c>
      <x:c r="J56" s="14" t="str">
        <x:v>Compustat</x:v>
      </x:c>
      <x:c r="K56" s="14" t="str">
        <x:v>Annual</x:v>
      </x:c>
      <x:c r="L56" s="14" t="str">
        <x:v>https://dachxiu.chicagobooth.edu/download/ML_supp.pdf</x:v>
      </x:c>
      <x:c r="M56" s="14" t="str">
        <x:v>https://dachxiu.chicagobooth.edu/download/datashare.zip</x:v>
      </x:c>
      <x:c r="N56" s="14" t="str">
        <x:v>Gu, Kelly &amp; Xiu Table A.6; dataset-style name uses lower case and underscores where needed.</x:v>
      </x:c>
    </x:row>
    <x:row r="57">
      <x:c r="A57" s="14" t="n">
        <x:v>56</x:v>
      </x:c>
      <x:c r="B57" s="14" t="str">
        <x:v>pchcapx ia</x:v>
      </x:c>
      <x:c r="C57" s="14" t="str">
        <x:v>pchcapx_ia</x:v>
      </x:c>
      <x:c r="D57" s="14" t="str">
        <x:v>Industry adjusted % change in capital expenditures</x:v>
      </x:c>
      <x:c r="E57" s="14" t="str">
        <x:v>行业调整资本支出百分比变化</x:v>
      </x:c>
      <x:c r="F57" s="14" t="str">
        <x:v>Investment</x:v>
      </x:c>
      <x:c r="G57" s="14" t="str">
        <x:v>Abarbanell &amp; Bushee</x:v>
      </x:c>
      <x:c r="H57" s="14" t="n">
        <x:v>1998</x:v>
      </x:c>
      <x:c r="I57" s="14" t="str">
        <x:v>TAR</x:v>
      </x:c>
      <x:c r="J57" s="14" t="str">
        <x:v>Compustat</x:v>
      </x:c>
      <x:c r="K57" s="14" t="str">
        <x:v>Annual</x:v>
      </x:c>
      <x:c r="L57" s="14" t="str">
        <x:v>https://dachxiu.chicagobooth.edu/download/ML_supp.pdf</x:v>
      </x:c>
      <x:c r="M57" s="14" t="str">
        <x:v>https://dachxiu.chicagobooth.edu/download/datashare.zip</x:v>
      </x:c>
      <x:c r="N57" s="14" t="str">
        <x:v>Gu, Kelly &amp; Xiu Table A.6; dataset-style name uses lower case and underscores where needed.</x:v>
      </x:c>
    </x:row>
    <x:row r="58">
      <x:c r="A58" s="14" t="n">
        <x:v>57</x:v>
      </x:c>
      <x:c r="B58" s="14" t="str">
        <x:v>pchcurrat</x:v>
      </x:c>
      <x:c r="C58" s="14" t="str">
        <x:v>pchcurrat</x:v>
      </x:c>
      <x:c r="D58" s="14" t="str">
        <x:v>% change in current ratio</x:v>
      </x:c>
      <x:c r="E58" s="14" t="str">
        <x:v>流动比率百分比变化</x:v>
      </x:c>
      <x:c r="F58" s="14" t="str">
        <x:v>Liquidity / solvency</x:v>
      </x:c>
      <x:c r="G58" s="14" t="str">
        <x:v>Ou &amp; Penman</x:v>
      </x:c>
      <x:c r="H58" s="14" t="n">
        <x:v>1989</x:v>
      </x:c>
      <x:c r="I58" s="14" t="str">
        <x:v>JAE</x:v>
      </x:c>
      <x:c r="J58" s="14" t="str">
        <x:v>Compustat</x:v>
      </x:c>
      <x:c r="K58" s="14" t="str">
        <x:v>Annual</x:v>
      </x:c>
      <x:c r="L58" s="14" t="str">
        <x:v>https://dachxiu.chicagobooth.edu/download/ML_supp.pdf</x:v>
      </x:c>
      <x:c r="M58" s="14" t="str">
        <x:v>https://dachxiu.chicagobooth.edu/download/datashare.zip</x:v>
      </x:c>
      <x:c r="N58" s="14" t="str">
        <x:v>Gu, Kelly &amp; Xiu Table A.6; dataset-style name uses lower case and underscores where needed.</x:v>
      </x:c>
    </x:row>
    <x:row r="59">
      <x:c r="A59" s="14" t="n">
        <x:v>58</x:v>
      </x:c>
      <x:c r="B59" s="14" t="str">
        <x:v>pchdepr</x:v>
      </x:c>
      <x:c r="C59" s="14" t="str">
        <x:v>pchdepr</x:v>
      </x:c>
      <x:c r="D59" s="14" t="str">
        <x:v>% change in depreciation</x:v>
      </x:c>
      <x:c r="E59" s="14" t="str">
        <x:v>折旧百分比变化</x:v>
      </x:c>
      <x:c r="F59" s="14" t="str">
        <x:v>Accounting / asset intensity</x:v>
      </x:c>
      <x:c r="G59" s="14" t="str">
        <x:v>Holthausen &amp; Larcker</x:v>
      </x:c>
      <x:c r="H59" s="14" t="n">
        <x:v>1992</x:v>
      </x:c>
      <x:c r="I59" s="14" t="str">
        <x:v>JAE</x:v>
      </x:c>
      <x:c r="J59" s="14" t="str">
        <x:v>Compustat</x:v>
      </x:c>
      <x:c r="K59" s="14" t="str">
        <x:v>Annual</x:v>
      </x:c>
      <x:c r="L59" s="14" t="str">
        <x:v>https://dachxiu.chicagobooth.edu/download/ML_supp.pdf</x:v>
      </x:c>
      <x:c r="M59" s="14" t="str">
        <x:v>https://dachxiu.chicagobooth.edu/download/datashare.zip</x:v>
      </x:c>
      <x:c r="N59" s="14" t="str">
        <x:v>Gu, Kelly &amp; Xiu Table A.6; dataset-style name uses lower case and underscores where needed.</x:v>
      </x:c>
    </x:row>
    <x:row r="60">
      <x:c r="A60" s="14" t="n">
        <x:v>59</x:v>
      </x:c>
      <x:c r="B60" s="14" t="str">
        <x:v>pchgm pchsale</x:v>
      </x:c>
      <x:c r="C60" s="14" t="str">
        <x:v>pchgm_pchsale</x:v>
      </x:c>
      <x:c r="D60" s="14" t="str">
        <x:v>% change in gross margin - % change in sales</x:v>
      </x:c>
      <x:c r="E60" s="14" t="str">
        <x:v>毛利率变化减销售变化</x:v>
      </x:c>
      <x:c r="F60" s="14" t="str">
        <x:v>Profitability / operating efficiency</x:v>
      </x:c>
      <x:c r="G60" s="14" t="str">
        <x:v>Abarbanell &amp; Bushee</x:v>
      </x:c>
      <x:c r="H60" s="14" t="n">
        <x:v>1998</x:v>
      </x:c>
      <x:c r="I60" s="14" t="str">
        <x:v>TAR</x:v>
      </x:c>
      <x:c r="J60" s="14" t="str">
        <x:v>Compustat</x:v>
      </x:c>
      <x:c r="K60" s="14" t="str">
        <x:v>Annual</x:v>
      </x:c>
      <x:c r="L60" s="14" t="str">
        <x:v>https://dachxiu.chicagobooth.edu/download/ML_supp.pdf</x:v>
      </x:c>
      <x:c r="M60" s="14" t="str">
        <x:v>https://dachxiu.chicagobooth.edu/download/datashare.zip</x:v>
      </x:c>
      <x:c r="N60" s="14" t="str">
        <x:v>Gu, Kelly &amp; Xiu Table A.6; dataset-style name uses lower case and underscores where needed.</x:v>
      </x:c>
    </x:row>
    <x:row r="61">
      <x:c r="A61" s="14" t="n">
        <x:v>60</x:v>
      </x:c>
      <x:c r="B61" s="14" t="str">
        <x:v>pchquick</x:v>
      </x:c>
      <x:c r="C61" s="14" t="str">
        <x:v>pchquick</x:v>
      </x:c>
      <x:c r="D61" s="14" t="str">
        <x:v>% change in quick ratio</x:v>
      </x:c>
      <x:c r="E61" s="14" t="str">
        <x:v>速动比率百分比变化</x:v>
      </x:c>
      <x:c r="F61" s="14" t="str">
        <x:v>Liquidity / solvency</x:v>
      </x:c>
      <x:c r="G61" s="14" t="str">
        <x:v>Ou &amp; Penman</x:v>
      </x:c>
      <x:c r="H61" s="14" t="n">
        <x:v>1989</x:v>
      </x:c>
      <x:c r="I61" s="14" t="str">
        <x:v>JAE</x:v>
      </x:c>
      <x:c r="J61" s="14" t="str">
        <x:v>Compustat</x:v>
      </x:c>
      <x:c r="K61" s="14" t="str">
        <x:v>Annual</x:v>
      </x:c>
      <x:c r="L61" s="14" t="str">
        <x:v>https://dachxiu.chicagobooth.edu/download/ML_supp.pdf</x:v>
      </x:c>
      <x:c r="M61" s="14" t="str">
        <x:v>https://dachxiu.chicagobooth.edu/download/datashare.zip</x:v>
      </x:c>
      <x:c r="N61" s="14" t="str">
        <x:v>Gu, Kelly &amp; Xiu Table A.6; dataset-style name uses lower case and underscores where needed.</x:v>
      </x:c>
    </x:row>
    <x:row r="62">
      <x:c r="A62" s="14" t="n">
        <x:v>61</x:v>
      </x:c>
      <x:c r="B62" s="14" t="str">
        <x:v>pchsale pchinvt</x:v>
      </x:c>
      <x:c r="C62" s="14" t="str">
        <x:v>pchsale_pchinvt</x:v>
      </x:c>
      <x:c r="D62" s="14" t="str">
        <x:v>% change in sales - % change in inventory</x:v>
      </x:c>
      <x:c r="E62" s="14" t="str">
        <x:v>销售变化减存货变化</x:v>
      </x:c>
      <x:c r="F62" s="14" t="str">
        <x:v>Operating efficiency / inventory</x:v>
      </x:c>
      <x:c r="G62" s="14" t="str">
        <x:v>Abarbanell &amp; Bushee</x:v>
      </x:c>
      <x:c r="H62" s="14" t="n">
        <x:v>1998</x:v>
      </x:c>
      <x:c r="I62" s="14" t="str">
        <x:v>TAR</x:v>
      </x:c>
      <x:c r="J62" s="14" t="str">
        <x:v>Compustat</x:v>
      </x:c>
      <x:c r="K62" s="14" t="str">
        <x:v>Annual</x:v>
      </x:c>
      <x:c r="L62" s="14" t="str">
        <x:v>https://dachxiu.chicagobooth.edu/download/ML_supp.pdf</x:v>
      </x:c>
      <x:c r="M62" s="14" t="str">
        <x:v>https://dachxiu.chicagobooth.edu/download/datashare.zip</x:v>
      </x:c>
      <x:c r="N62" s="14" t="str">
        <x:v>Gu, Kelly &amp; Xiu Table A.6; dataset-style name uses lower case and underscores where needed.</x:v>
      </x:c>
    </x:row>
    <x:row r="63">
      <x:c r="A63" s="14" t="n">
        <x:v>62</x:v>
      </x:c>
      <x:c r="B63" s="14" t="str">
        <x:v>pchsale pchrect</x:v>
      </x:c>
      <x:c r="C63" s="14" t="str">
        <x:v>pchsale_pchrect</x:v>
      </x:c>
      <x:c r="D63" s="14" t="str">
        <x:v>% change in sales - % change in A/R</x:v>
      </x:c>
      <x:c r="E63" s="14" t="str">
        <x:v>销售变化减应收账款变化</x:v>
      </x:c>
      <x:c r="F63" s="14" t="str">
        <x:v>Operating efficiency / receivables</x:v>
      </x:c>
      <x:c r="G63" s="14" t="str">
        <x:v>Abarbanell &amp; Bushee</x:v>
      </x:c>
      <x:c r="H63" s="14" t="n">
        <x:v>1998</x:v>
      </x:c>
      <x:c r="I63" s="14" t="str">
        <x:v>TAR</x:v>
      </x:c>
      <x:c r="J63" s="14" t="str">
        <x:v>Compustat</x:v>
      </x:c>
      <x:c r="K63" s="14" t="str">
        <x:v>Annual</x:v>
      </x:c>
      <x:c r="L63" s="14" t="str">
        <x:v>https://dachxiu.chicagobooth.edu/download/ML_supp.pdf</x:v>
      </x:c>
      <x:c r="M63" s="14" t="str">
        <x:v>https://dachxiu.chicagobooth.edu/download/datashare.zip</x:v>
      </x:c>
      <x:c r="N63" s="14" t="str">
        <x:v>Gu, Kelly &amp; Xiu Table A.6; dataset-style name uses lower case and underscores where needed.</x:v>
      </x:c>
    </x:row>
    <x:row r="64">
      <x:c r="A64" s="14" t="n">
        <x:v>63</x:v>
      </x:c>
      <x:c r="B64" s="14" t="str">
        <x:v>pchsale pchxsga</x:v>
      </x:c>
      <x:c r="C64" s="14" t="str">
        <x:v>pchsale_pchxsga</x:v>
      </x:c>
      <x:c r="D64" s="14" t="str">
        <x:v>% change in sales - % change in SG&amp;A</x:v>
      </x:c>
      <x:c r="E64" s="14" t="str">
        <x:v>销售变化减销售及管理费用变化</x:v>
      </x:c>
      <x:c r="F64" s="14" t="str">
        <x:v>Operating efficiency / expense control</x:v>
      </x:c>
      <x:c r="G64" s="14" t="str">
        <x:v>Abarbanell &amp; Bushee</x:v>
      </x:c>
      <x:c r="H64" s="14" t="n">
        <x:v>1998</x:v>
      </x:c>
      <x:c r="I64" s="14" t="str">
        <x:v>TAR</x:v>
      </x:c>
      <x:c r="J64" s="14" t="str">
        <x:v>Compustat</x:v>
      </x:c>
      <x:c r="K64" s="14" t="str">
        <x:v>Annual</x:v>
      </x:c>
      <x:c r="L64" s="14" t="str">
        <x:v>https://dachxiu.chicagobooth.edu/download/ML_supp.pdf</x:v>
      </x:c>
      <x:c r="M64" s="14" t="str">
        <x:v>https://dachxiu.chicagobooth.edu/download/datashare.zip</x:v>
      </x:c>
      <x:c r="N64" s="14" t="str">
        <x:v>Gu, Kelly &amp; Xiu Table A.6; dataset-style name uses lower case and underscores where needed.</x:v>
      </x:c>
    </x:row>
    <x:row r="65">
      <x:c r="A65" s="14" t="n">
        <x:v>64</x:v>
      </x:c>
      <x:c r="B65" s="14" t="str">
        <x:v>pchsaleinv</x:v>
      </x:c>
      <x:c r="C65" s="14" t="str">
        <x:v>pchsaleinv</x:v>
      </x:c>
      <x:c r="D65" s="14" t="str">
        <x:v>% change sales-to-inventory</x:v>
      </x:c>
      <x:c r="E65" s="14" t="str">
        <x:v>销售存货比百分比变化</x:v>
      </x:c>
      <x:c r="F65" s="14" t="str">
        <x:v>Operating efficiency / inventory</x:v>
      </x:c>
      <x:c r="G65" s="14" t="str">
        <x:v>Ou &amp; Penman</x:v>
      </x:c>
      <x:c r="H65" s="14" t="n">
        <x:v>1989</x:v>
      </x:c>
      <x:c r="I65" s="14" t="str">
        <x:v>JAE</x:v>
      </x:c>
      <x:c r="J65" s="14" t="str">
        <x:v>Compustat</x:v>
      </x:c>
      <x:c r="K65" s="14" t="str">
        <x:v>Annual</x:v>
      </x:c>
      <x:c r="L65" s="14" t="str">
        <x:v>https://dachxiu.chicagobooth.edu/download/ML_supp.pdf</x:v>
      </x:c>
      <x:c r="M65" s="14" t="str">
        <x:v>https://dachxiu.chicagobooth.edu/download/datashare.zip</x:v>
      </x:c>
      <x:c r="N65" s="14" t="str">
        <x:v>Gu, Kelly &amp; Xiu Table A.6; dataset-style name uses lower case and underscores where needed.</x:v>
      </x:c>
    </x:row>
    <x:row r="66">
      <x:c r="A66" s="14" t="n">
        <x:v>65</x:v>
      </x:c>
      <x:c r="B66" s="14" t="str">
        <x:v>pctacc</x:v>
      </x:c>
      <x:c r="C66" s="14" t="str">
        <x:v>pctacc</x:v>
      </x:c>
      <x:c r="D66" s="14" t="str">
        <x:v>Percent accruals</x:v>
      </x:c>
      <x:c r="E66" s="14" t="str">
        <x:v>百分比应计项目</x:v>
      </x:c>
      <x:c r="F66" s="14" t="str">
        <x:v>Accruals / accounting quality</x:v>
      </x:c>
      <x:c r="G66" s="14" t="str">
        <x:v>Hafzalla, Lundholm &amp; Van Winkle</x:v>
      </x:c>
      <x:c r="H66" s="14" t="n">
        <x:v>2011</x:v>
      </x:c>
      <x:c r="I66" s="14" t="str">
        <x:v>TAR</x:v>
      </x:c>
      <x:c r="J66" s="14" t="str">
        <x:v>Compustat</x:v>
      </x:c>
      <x:c r="K66" s="14" t="str">
        <x:v>Annual</x:v>
      </x:c>
      <x:c r="L66" s="14" t="str">
        <x:v>https://dachxiu.chicagobooth.edu/download/ML_supp.pdf</x:v>
      </x:c>
      <x:c r="M66" s="14" t="str">
        <x:v>https://dachxiu.chicagobooth.edu/download/datashare.zip</x:v>
      </x:c>
      <x:c r="N66" s="14" t="str">
        <x:v>Gu, Kelly &amp; Xiu Table A.6; dataset-style name uses lower case and underscores where needed.</x:v>
      </x:c>
    </x:row>
    <x:row r="67">
      <x:c r="A67" s="14" t="n">
        <x:v>66</x:v>
      </x:c>
      <x:c r="B67" s="14" t="str">
        <x:v>pricedelay</x:v>
      </x:c>
      <x:c r="C67" s="14" t="str">
        <x:v>pricedelay</x:v>
      </x:c>
      <x:c r="D67" s="14" t="str">
        <x:v>Price delay</x:v>
      </x:c>
      <x:c r="E67" s="14" t="str">
        <x:v>价格延迟</x:v>
      </x:c>
      <x:c r="F67" s="14" t="str">
        <x:v>Liquidity / information diffusion</x:v>
      </x:c>
      <x:c r="G67" s="14" t="str">
        <x:v>Hou &amp; Moskowitz</x:v>
      </x:c>
      <x:c r="H67" s="14" t="n">
        <x:v>2005</x:v>
      </x:c>
      <x:c r="I67" s="14" t="str">
        <x:v>RFS</x:v>
      </x:c>
      <x:c r="J67" s="14" t="str">
        <x:v>CRSP</x:v>
      </x:c>
      <x:c r="K67" s="14" t="str">
        <x:v>Monthly</x:v>
      </x:c>
      <x:c r="L67" s="14" t="str">
        <x:v>https://dachxiu.chicagobooth.edu/download/ML_supp.pdf</x:v>
      </x:c>
      <x:c r="M67" s="14" t="str">
        <x:v>https://dachxiu.chicagobooth.edu/download/datashare.zip</x:v>
      </x:c>
      <x:c r="N67" s="14" t="str">
        <x:v>Gu, Kelly &amp; Xiu Table A.6; dataset-style name uses lower case and underscores where needed.</x:v>
      </x:c>
    </x:row>
    <x:row r="68">
      <x:c r="A68" s="14" t="n">
        <x:v>67</x:v>
      </x:c>
      <x:c r="B68" s="14" t="str">
        <x:v>ps</x:v>
      </x:c>
      <x:c r="C68" s="14" t="str">
        <x:v>ps</x:v>
      </x:c>
      <x:c r="D68" s="14" t="str">
        <x:v>Financial statements score</x:v>
      </x:c>
      <x:c r="E68" s="14" t="str">
        <x:v>财务报表评分</x:v>
      </x:c>
      <x:c r="F68" s="14" t="str">
        <x:v>Accounting score / quality</x:v>
      </x:c>
      <x:c r="G68" s="14" t="str">
        <x:v>Piotroski</x:v>
      </x:c>
      <x:c r="H68" s="14" t="n">
        <x:v>2000</x:v>
      </x:c>
      <x:c r="I68" s="14" t="str">
        <x:v>JAR</x:v>
      </x:c>
      <x:c r="J68" s="14" t="str">
        <x:v>Compustat</x:v>
      </x:c>
      <x:c r="K68" s="14" t="str">
        <x:v>Annual</x:v>
      </x:c>
      <x:c r="L68" s="14" t="str">
        <x:v>https://dachxiu.chicagobooth.edu/download/ML_supp.pdf</x:v>
      </x:c>
      <x:c r="M68" s="14" t="str">
        <x:v>https://dachxiu.chicagobooth.edu/download/datashare.zip</x:v>
      </x:c>
      <x:c r="N68" s="14" t="str">
        <x:v>Gu, Kelly &amp; Xiu Table A.6; dataset-style name uses lower case and underscores where needed.</x:v>
      </x:c>
    </x:row>
    <x:row r="69">
      <x:c r="A69" s="14" t="n">
        <x:v>68</x:v>
      </x:c>
      <x:c r="B69" s="14" t="str">
        <x:v>quick</x:v>
      </x:c>
      <x:c r="C69" s="14" t="str">
        <x:v>quick</x:v>
      </x:c>
      <x:c r="D69" s="14" t="str">
        <x:v>Quick ratio</x:v>
      </x:c>
      <x:c r="E69" s="14" t="str">
        <x:v>速动比率</x:v>
      </x:c>
      <x:c r="F69" s="14" t="str">
        <x:v>Liquidity / solvency</x:v>
      </x:c>
      <x:c r="G69" s="14" t="str">
        <x:v>Ou &amp; Penman</x:v>
      </x:c>
      <x:c r="H69" s="14" t="n">
        <x:v>1989</x:v>
      </x:c>
      <x:c r="I69" s="14" t="str">
        <x:v>JAE</x:v>
      </x:c>
      <x:c r="J69" s="14" t="str">
        <x:v>Compustat</x:v>
      </x:c>
      <x:c r="K69" s="14" t="str">
        <x:v>Annual</x:v>
      </x:c>
      <x:c r="L69" s="14" t="str">
        <x:v>https://dachxiu.chicagobooth.edu/download/ML_supp.pdf</x:v>
      </x:c>
      <x:c r="M69" s="14" t="str">
        <x:v>https://dachxiu.chicagobooth.edu/download/datashare.zip</x:v>
      </x:c>
      <x:c r="N69" s="14" t="str">
        <x:v>Gu, Kelly &amp; Xiu Table A.6; dataset-style name uses lower case and underscores where needed.</x:v>
      </x:c>
    </x:row>
    <x:row r="70">
      <x:c r="A70" s="14" t="n">
        <x:v>69</x:v>
      </x:c>
      <x:c r="B70" s="14" t="str">
        <x:v>rd</x:v>
      </x:c>
      <x:c r="C70" s="14" t="str">
        <x:v>rd</x:v>
      </x:c>
      <x:c r="D70" s="14" t="str">
        <x:v>R&amp;D increase</x:v>
      </x:c>
      <x:c r="E70" s="14" t="str">
        <x:v>研发增加指标</x:v>
      </x:c>
      <x:c r="F70" s="14" t="str">
        <x:v>R&amp;D / intangible investment</x:v>
      </x:c>
      <x:c r="G70" s="14" t="str">
        <x:v>Eberhart, Maxwell &amp; Siddique</x:v>
      </x:c>
      <x:c r="H70" s="14" t="n">
        <x:v>2004</x:v>
      </x:c>
      <x:c r="I70" s="14" t="str">
        <x:v>JF</x:v>
      </x:c>
      <x:c r="J70" s="14" t="str">
        <x:v>Compustat</x:v>
      </x:c>
      <x:c r="K70" s="14" t="str">
        <x:v>Annual</x:v>
      </x:c>
      <x:c r="L70" s="14" t="str">
        <x:v>https://dachxiu.chicagobooth.edu/download/ML_supp.pdf</x:v>
      </x:c>
      <x:c r="M70" s="14" t="str">
        <x:v>https://dachxiu.chicagobooth.edu/download/datashare.zip</x:v>
      </x:c>
      <x:c r="N70" s="14" t="str">
        <x:v>Gu, Kelly &amp; Xiu Table A.6; dataset-style name uses lower case and underscores where needed.</x:v>
      </x:c>
    </x:row>
    <x:row r="71">
      <x:c r="A71" s="14" t="n">
        <x:v>70</x:v>
      </x:c>
      <x:c r="B71" s="14" t="str">
        <x:v>rd mve</x:v>
      </x:c>
      <x:c r="C71" s="14" t="str">
        <x:v>rd_mve</x:v>
      </x:c>
      <x:c r="D71" s="14" t="str">
        <x:v>R&amp;D to market capitalization</x:v>
      </x:c>
      <x:c r="E71" s="14" t="str">
        <x:v>研发支出与市值比</x:v>
      </x:c>
      <x:c r="F71" s="14" t="str">
        <x:v>R&amp;D / intangible investment</x:v>
      </x:c>
      <x:c r="G71" s="14" t="str">
        <x:v>Guo, Lev &amp; Shi</x:v>
      </x:c>
      <x:c r="H71" s="14" t="n">
        <x:v>2006</x:v>
      </x:c>
      <x:c r="I71" s="14" t="str">
        <x:v>JBFA</x:v>
      </x:c>
      <x:c r="J71" s="14" t="str">
        <x:v>Compustat</x:v>
      </x:c>
      <x:c r="K71" s="14" t="str">
        <x:v>Annual</x:v>
      </x:c>
      <x:c r="L71" s="14" t="str">
        <x:v>https://dachxiu.chicagobooth.edu/download/ML_supp.pdf</x:v>
      </x:c>
      <x:c r="M71" s="14" t="str">
        <x:v>https://dachxiu.chicagobooth.edu/download/datashare.zip</x:v>
      </x:c>
      <x:c r="N71" s="14" t="str">
        <x:v>Gu, Kelly &amp; Xiu Table A.6; dataset-style name uses lower case and underscores where needed.</x:v>
      </x:c>
    </x:row>
    <x:row r="72">
      <x:c r="A72" s="14" t="n">
        <x:v>71</x:v>
      </x:c>
      <x:c r="B72" s="14" t="str">
        <x:v>rd sale</x:v>
      </x:c>
      <x:c r="C72" s="14" t="str">
        <x:v>rd_sale</x:v>
      </x:c>
      <x:c r="D72" s="14" t="str">
        <x:v>R&amp;D to sales</x:v>
      </x:c>
      <x:c r="E72" s="14" t="str">
        <x:v>研发支出与销售比</x:v>
      </x:c>
      <x:c r="F72" s="14" t="str">
        <x:v>R&amp;D / intangible investment</x:v>
      </x:c>
      <x:c r="G72" s="14" t="str">
        <x:v>Guo, Lev &amp; Shi</x:v>
      </x:c>
      <x:c r="H72" s="14" t="n">
        <x:v>2006</x:v>
      </x:c>
      <x:c r="I72" s="14" t="str">
        <x:v>JBFA</x:v>
      </x:c>
      <x:c r="J72" s="14" t="str">
        <x:v>Compustat</x:v>
      </x:c>
      <x:c r="K72" s="14" t="str">
        <x:v>Annual</x:v>
      </x:c>
      <x:c r="L72" s="14" t="str">
        <x:v>https://dachxiu.chicagobooth.edu/download/ML_supp.pdf</x:v>
      </x:c>
      <x:c r="M72" s="14" t="str">
        <x:v>https://dachxiu.chicagobooth.edu/download/datashare.zip</x:v>
      </x:c>
      <x:c r="N72" s="14" t="str">
        <x:v>Gu, Kelly &amp; Xiu Table A.6; dataset-style name uses lower case and underscores where needed.</x:v>
      </x:c>
    </x:row>
    <x:row r="73">
      <x:c r="A73" s="14" t="n">
        <x:v>72</x:v>
      </x:c>
      <x:c r="B73" s="14" t="str">
        <x:v>realestate</x:v>
      </x:c>
      <x:c r="C73" s="14" t="str">
        <x:v>realestate</x:v>
      </x:c>
      <x:c r="D73" s="14" t="str">
        <x:v>Real estate holdings</x:v>
      </x:c>
      <x:c r="E73" s="14" t="str">
        <x:v>房地产持有</x:v>
      </x:c>
      <x:c r="F73" s="14" t="str">
        <x:v>Asset composition</x:v>
      </x:c>
      <x:c r="G73" s="14" t="str">
        <x:v>Tuzel</x:v>
      </x:c>
      <x:c r="H73" s="14" t="n">
        <x:v>2010</x:v>
      </x:c>
      <x:c r="I73" s="14" t="str">
        <x:v>RFS</x:v>
      </x:c>
      <x:c r="J73" s="14" t="str">
        <x:v>Compustat</x:v>
      </x:c>
      <x:c r="K73" s="14" t="str">
        <x:v>Annual</x:v>
      </x:c>
      <x:c r="L73" s="14" t="str">
        <x:v>https://dachxiu.chicagobooth.edu/download/ML_supp.pdf</x:v>
      </x:c>
      <x:c r="M73" s="14" t="str">
        <x:v>https://dachxiu.chicagobooth.edu/download/datashare.zip</x:v>
      </x:c>
      <x:c r="N73" s="14" t="str">
        <x:v>Gu, Kelly &amp; Xiu Table A.6; dataset-style name uses lower case and underscores where needed.</x:v>
      </x:c>
    </x:row>
    <x:row r="74">
      <x:c r="A74" s="14" t="n">
        <x:v>73</x:v>
      </x:c>
      <x:c r="B74" s="14" t="str">
        <x:v>retvol</x:v>
      </x:c>
      <x:c r="C74" s="14" t="str">
        <x:v>retvol</x:v>
      </x:c>
      <x:c r="D74" s="14" t="str">
        <x:v>Return volatility</x:v>
      </x:c>
      <x:c r="E74" s="14" t="str">
        <x:v>收益率波动率</x:v>
      </x:c>
      <x:c r="F74" s="14" t="str">
        <x:v>Volatility / risk</x:v>
      </x:c>
      <x:c r="G74" s="14" t="str">
        <x:v>Ang, Hodrick, Xing &amp; Zhang</x:v>
      </x:c>
      <x:c r="H74" s="14" t="n">
        <x:v>2006</x:v>
      </x:c>
      <x:c r="I74" s="14" t="str">
        <x:v>JF</x:v>
      </x:c>
      <x:c r="J74" s="14" t="str">
        <x:v>CRSP</x:v>
      </x:c>
      <x:c r="K74" s="14" t="str">
        <x:v>Monthly</x:v>
      </x:c>
      <x:c r="L74" s="14" t="str">
        <x:v>https://dachxiu.chicagobooth.edu/download/ML_supp.pdf</x:v>
      </x:c>
      <x:c r="M74" s="14" t="str">
        <x:v>https://dachxiu.chicagobooth.edu/download/datashare.zip</x:v>
      </x:c>
      <x:c r="N74" s="14" t="str">
        <x:v>Gu, Kelly &amp; Xiu Table A.6; dataset-style name uses lower case and underscores where needed.</x:v>
      </x:c>
    </x:row>
    <x:row r="75">
      <x:c r="A75" s="14" t="n">
        <x:v>74</x:v>
      </x:c>
      <x:c r="B75" s="14" t="str">
        <x:v>roaq</x:v>
      </x:c>
      <x:c r="C75" s="14" t="str">
        <x:v>roaq</x:v>
      </x:c>
      <x:c r="D75" s="14" t="str">
        <x:v>Return on assets</x:v>
      </x:c>
      <x:c r="E75" s="14" t="str">
        <x:v>资产收益率</x:v>
      </x:c>
      <x:c r="F75" s="14" t="str">
        <x:v>Profitability</x:v>
      </x:c>
      <x:c r="G75" s="14" t="str">
        <x:v>Balakrishnan, Bartov &amp; Faurel</x:v>
      </x:c>
      <x:c r="H75" s="14" t="n">
        <x:v>2010</x:v>
      </x:c>
      <x:c r="I75" s="14" t="str">
        <x:v>JAE</x:v>
      </x:c>
      <x:c r="J75" s="14" t="str">
        <x:v>Compustat</x:v>
      </x:c>
      <x:c r="K75" s="14" t="str">
        <x:v>Quarterly</x:v>
      </x:c>
      <x:c r="L75" s="14" t="str">
        <x:v>https://dachxiu.chicagobooth.edu/download/ML_supp.pdf</x:v>
      </x:c>
      <x:c r="M75" s="14" t="str">
        <x:v>https://dachxiu.chicagobooth.edu/download/datashare.zip</x:v>
      </x:c>
      <x:c r="N75" s="14" t="str">
        <x:v>Gu, Kelly &amp; Xiu Table A.6; dataset-style name uses lower case and underscores where needed.</x:v>
      </x:c>
    </x:row>
    <x:row r="76">
      <x:c r="A76" s="14" t="n">
        <x:v>75</x:v>
      </x:c>
      <x:c r="B76" s="14" t="str">
        <x:v>roavol</x:v>
      </x:c>
      <x:c r="C76" s="14" t="str">
        <x:v>roavol</x:v>
      </x:c>
      <x:c r="D76" s="14" t="str">
        <x:v>Earnings volatility</x:v>
      </x:c>
      <x:c r="E76" s="14" t="str">
        <x:v>盈利波动率</x:v>
      </x:c>
      <x:c r="F76" s="14" t="str">
        <x:v>Earnings quality / risk</x:v>
      </x:c>
      <x:c r="G76" s="14" t="str">
        <x:v>Francis, LaFond, Olsson &amp; Schipper</x:v>
      </x:c>
      <x:c r="H76" s="14" t="n">
        <x:v>2004</x:v>
      </x:c>
      <x:c r="I76" s="14" t="str">
        <x:v>TAR</x:v>
      </x:c>
      <x:c r="J76" s="14" t="str">
        <x:v>Compustat</x:v>
      </x:c>
      <x:c r="K76" s="14" t="str">
        <x:v>Quarterly</x:v>
      </x:c>
      <x:c r="L76" s="14" t="str">
        <x:v>https://dachxiu.chicagobooth.edu/download/ML_supp.pdf</x:v>
      </x:c>
      <x:c r="M76" s="14" t="str">
        <x:v>https://dachxiu.chicagobooth.edu/download/datashare.zip</x:v>
      </x:c>
      <x:c r="N76" s="14" t="str">
        <x:v>Gu, Kelly &amp; Xiu Table A.6; dataset-style name uses lower case and underscores where needed.</x:v>
      </x:c>
    </x:row>
    <x:row r="77">
      <x:c r="A77" s="14" t="n">
        <x:v>76</x:v>
      </x:c>
      <x:c r="B77" s="14" t="str">
        <x:v>roeq</x:v>
      </x:c>
      <x:c r="C77" s="14" t="str">
        <x:v>roeq</x:v>
      </x:c>
      <x:c r="D77" s="14" t="str">
        <x:v>Return on equity</x:v>
      </x:c>
      <x:c r="E77" s="14" t="str">
        <x:v>净资产收益率</x:v>
      </x:c>
      <x:c r="F77" s="14" t="str">
        <x:v>Profitability</x:v>
      </x:c>
      <x:c r="G77" s="14" t="str">
        <x:v>Hou, Xue &amp; Zhang</x:v>
      </x:c>
      <x:c r="H77" s="14" t="n">
        <x:v>2015</x:v>
      </x:c>
      <x:c r="I77" s="14" t="str">
        <x:v>RFS</x:v>
      </x:c>
      <x:c r="J77" s="14" t="str">
        <x:v>Compustat</x:v>
      </x:c>
      <x:c r="K77" s="14" t="str">
        <x:v>Quarterly</x:v>
      </x:c>
      <x:c r="L77" s="14" t="str">
        <x:v>https://dachxiu.chicagobooth.edu/download/ML_supp.pdf</x:v>
      </x:c>
      <x:c r="M77" s="14" t="str">
        <x:v>https://dachxiu.chicagobooth.edu/download/datashare.zip</x:v>
      </x:c>
      <x:c r="N77" s="14" t="str">
        <x:v>Gu, Kelly &amp; Xiu Table A.6; dataset-style name uses lower case and underscores where needed.</x:v>
      </x:c>
    </x:row>
    <x:row r="78">
      <x:c r="A78" s="14" t="n">
        <x:v>77</x:v>
      </x:c>
      <x:c r="B78" s="14" t="str">
        <x:v>roic</x:v>
      </x:c>
      <x:c r="C78" s="14" t="str">
        <x:v>roic</x:v>
      </x:c>
      <x:c r="D78" s="14" t="str">
        <x:v>Return on invested capital</x:v>
      </x:c>
      <x:c r="E78" s="14" t="str">
        <x:v>投入资本回报率</x:v>
      </x:c>
      <x:c r="F78" s="14" t="str">
        <x:v>Profitability</x:v>
      </x:c>
      <x:c r="G78" s="14" t="str">
        <x:v>Brown &amp; Rowe</x:v>
      </x:c>
      <x:c r="H78" s="14" t="n">
        <x:v>2007</x:v>
      </x:c>
      <x:c r="I78" s="14" t="str">
        <x:v>WP</x:v>
      </x:c>
      <x:c r="J78" s="14" t="str">
        <x:v>Compustat</x:v>
      </x:c>
      <x:c r="K78" s="14" t="str">
        <x:v>Annual</x:v>
      </x:c>
      <x:c r="L78" s="14" t="str">
        <x:v>https://dachxiu.chicagobooth.edu/download/ML_supp.pdf</x:v>
      </x:c>
      <x:c r="M78" s="14" t="str">
        <x:v>https://dachxiu.chicagobooth.edu/download/datashare.zip</x:v>
      </x:c>
      <x:c r="N78" s="14" t="str">
        <x:v>Gu, Kelly &amp; Xiu Table A.6; dataset-style name uses lower case and underscores where needed.</x:v>
      </x:c>
    </x:row>
    <x:row r="79">
      <x:c r="A79" s="14" t="n">
        <x:v>78</x:v>
      </x:c>
      <x:c r="B79" s="14" t="str">
        <x:v>rsup</x:v>
      </x:c>
      <x:c r="C79" s="14" t="str">
        <x:v>rsup</x:v>
      </x:c>
      <x:c r="D79" s="14" t="str">
        <x:v>Revenue surprise</x:v>
      </x:c>
      <x:c r="E79" s="14" t="str">
        <x:v>收入意外</x:v>
      </x:c>
      <x:c r="F79" s="14" t="str">
        <x:v>Earnings / revenue surprise</x:v>
      </x:c>
      <x:c r="G79" s="14" t="str">
        <x:v>Kama</x:v>
      </x:c>
      <x:c r="H79" s="14" t="n">
        <x:v>2009</x:v>
      </x:c>
      <x:c r="I79" s="14" t="str">
        <x:v>JBFA</x:v>
      </x:c>
      <x:c r="J79" s="14" t="str">
        <x:v>Compustat</x:v>
      </x:c>
      <x:c r="K79" s="14" t="str">
        <x:v>Quarterly</x:v>
      </x:c>
      <x:c r="L79" s="14" t="str">
        <x:v>https://dachxiu.chicagobooth.edu/download/ML_supp.pdf</x:v>
      </x:c>
      <x:c r="M79" s="14" t="str">
        <x:v>https://dachxiu.chicagobooth.edu/download/datashare.zip</x:v>
      </x:c>
      <x:c r="N79" s="14" t="str">
        <x:v>Gu, Kelly &amp; Xiu Table A.6; dataset-style name uses lower case and underscores where needed.</x:v>
      </x:c>
    </x:row>
    <x:row r="80">
      <x:c r="A80" s="14" t="n">
        <x:v>79</x:v>
      </x:c>
      <x:c r="B80" s="14" t="str">
        <x:v>salecash</x:v>
      </x:c>
      <x:c r="C80" s="14" t="str">
        <x:v>salecash</x:v>
      </x:c>
      <x:c r="D80" s="14" t="str">
        <x:v>Sales to cash</x:v>
      </x:c>
      <x:c r="E80" s="14" t="str">
        <x:v>销售现金比</x:v>
      </x:c>
      <x:c r="F80" s="14" t="str">
        <x:v>Operating efficiency</x:v>
      </x:c>
      <x:c r="G80" s="14" t="str">
        <x:v>Ou &amp; Penman</x:v>
      </x:c>
      <x:c r="H80" s="14" t="n">
        <x:v>1989</x:v>
      </x:c>
      <x:c r="I80" s="14" t="str">
        <x:v>JAE</x:v>
      </x:c>
      <x:c r="J80" s="14" t="str">
        <x:v>Compustat</x:v>
      </x:c>
      <x:c r="K80" s="14" t="str">
        <x:v>Annual</x:v>
      </x:c>
      <x:c r="L80" s="14" t="str">
        <x:v>https://dachxiu.chicagobooth.edu/download/ML_supp.pdf</x:v>
      </x:c>
      <x:c r="M80" s="14" t="str">
        <x:v>https://dachxiu.chicagobooth.edu/download/datashare.zip</x:v>
      </x:c>
      <x:c r="N80" s="14" t="str">
        <x:v>Gu, Kelly &amp; Xiu Table A.6; dataset-style name uses lower case and underscores where needed.</x:v>
      </x:c>
    </x:row>
    <x:row r="81">
      <x:c r="A81" s="14" t="n">
        <x:v>80</x:v>
      </x:c>
      <x:c r="B81" s="14" t="str">
        <x:v>saleinv</x:v>
      </x:c>
      <x:c r="C81" s="14" t="str">
        <x:v>saleinv</x:v>
      </x:c>
      <x:c r="D81" s="14" t="str">
        <x:v>Sales to inventory</x:v>
      </x:c>
      <x:c r="E81" s="14" t="str">
        <x:v>销售存货比</x:v>
      </x:c>
      <x:c r="F81" s="14" t="str">
        <x:v>Operating efficiency / inventory</x:v>
      </x:c>
      <x:c r="G81" s="14" t="str">
        <x:v>Ou &amp; Penman</x:v>
      </x:c>
      <x:c r="H81" s="14" t="n">
        <x:v>1989</x:v>
      </x:c>
      <x:c r="I81" s="14" t="str">
        <x:v>JAE</x:v>
      </x:c>
      <x:c r="J81" s="14" t="str">
        <x:v>Compustat</x:v>
      </x:c>
      <x:c r="K81" s="14" t="str">
        <x:v>Annual</x:v>
      </x:c>
      <x:c r="L81" s="14" t="str">
        <x:v>https://dachxiu.chicagobooth.edu/download/ML_supp.pdf</x:v>
      </x:c>
      <x:c r="M81" s="14" t="str">
        <x:v>https://dachxiu.chicagobooth.edu/download/datashare.zip</x:v>
      </x:c>
      <x:c r="N81" s="14" t="str">
        <x:v>Gu, Kelly &amp; Xiu Table A.6; dataset-style name uses lower case and underscores where needed.</x:v>
      </x:c>
    </x:row>
    <x:row r="82">
      <x:c r="A82" s="14" t="n">
        <x:v>81</x:v>
      </x:c>
      <x:c r="B82" s="14" t="str">
        <x:v>salerec</x:v>
      </x:c>
      <x:c r="C82" s="14" t="str">
        <x:v>salerec</x:v>
      </x:c>
      <x:c r="D82" s="14" t="str">
        <x:v>Sales to receivables</x:v>
      </x:c>
      <x:c r="E82" s="14" t="str">
        <x:v>销售应收账款比</x:v>
      </x:c>
      <x:c r="F82" s="14" t="str">
        <x:v>Operating efficiency / receivables</x:v>
      </x:c>
      <x:c r="G82" s="14" t="str">
        <x:v>Ou &amp; Penman</x:v>
      </x:c>
      <x:c r="H82" s="14" t="n">
        <x:v>1989</x:v>
      </x:c>
      <x:c r="I82" s="14" t="str">
        <x:v>JAE</x:v>
      </x:c>
      <x:c r="J82" s="14" t="str">
        <x:v>Compustat</x:v>
      </x:c>
      <x:c r="K82" s="14" t="str">
        <x:v>Annual</x:v>
      </x:c>
      <x:c r="L82" s="14" t="str">
        <x:v>https://dachxiu.chicagobooth.edu/download/ML_supp.pdf</x:v>
      </x:c>
      <x:c r="M82" s="14" t="str">
        <x:v>https://dachxiu.chicagobooth.edu/download/datashare.zip</x:v>
      </x:c>
      <x:c r="N82" s="14" t="str">
        <x:v>Gu, Kelly &amp; Xiu Table A.6; dataset-style name uses lower case and underscores where needed.</x:v>
      </x:c>
    </x:row>
    <x:row r="83">
      <x:c r="A83" s="14" t="n">
        <x:v>82</x:v>
      </x:c>
      <x:c r="B83" s="14" t="str">
        <x:v>secured</x:v>
      </x:c>
      <x:c r="C83" s="14" t="str">
        <x:v>secured</x:v>
      </x:c>
      <x:c r="D83" s="14" t="str">
        <x:v>Secured debt</x:v>
      </x:c>
      <x:c r="E83" s="14" t="str">
        <x:v>有担保债务</x:v>
      </x:c>
      <x:c r="F83" s="14" t="str">
        <x:v>Debt structure</x:v>
      </x:c>
      <x:c r="G83" s="14" t="str">
        <x:v>Valta</x:v>
      </x:c>
      <x:c r="H83" s="14" t="n">
        <x:v>2016</x:v>
      </x:c>
      <x:c r="I83" s="14" t="str">
        <x:v>JFQA</x:v>
      </x:c>
      <x:c r="J83" s="14" t="str">
        <x:v>Compustat</x:v>
      </x:c>
      <x:c r="K83" s="14" t="str">
        <x:v>Annual</x:v>
      </x:c>
      <x:c r="L83" s="14" t="str">
        <x:v>https://dachxiu.chicagobooth.edu/download/ML_supp.pdf</x:v>
      </x:c>
      <x:c r="M83" s="14" t="str">
        <x:v>https://dachxiu.chicagobooth.edu/download/datashare.zip</x:v>
      </x:c>
      <x:c r="N83" s="14" t="str">
        <x:v>Gu, Kelly &amp; Xiu Table A.6; dataset-style name uses lower case and underscores where needed.</x:v>
      </x:c>
    </x:row>
    <x:row r="84">
      <x:c r="A84" s="14" t="n">
        <x:v>83</x:v>
      </x:c>
      <x:c r="B84" s="14" t="str">
        <x:v>securedind</x:v>
      </x:c>
      <x:c r="C84" s="14" t="str">
        <x:v>securedind</x:v>
      </x:c>
      <x:c r="D84" s="14" t="str">
        <x:v>Secured debt indicator</x:v>
      </x:c>
      <x:c r="E84" s="14" t="str">
        <x:v>有担保债务指标</x:v>
      </x:c>
      <x:c r="F84" s="14" t="str">
        <x:v>Debt structure</x:v>
      </x:c>
      <x:c r="G84" s="14" t="str">
        <x:v>Valta</x:v>
      </x:c>
      <x:c r="H84" s="14" t="n">
        <x:v>2016</x:v>
      </x:c>
      <x:c r="I84" s="14" t="str">
        <x:v>JFQA</x:v>
      </x:c>
      <x:c r="J84" s="14" t="str">
        <x:v>Compustat</x:v>
      </x:c>
      <x:c r="K84" s="14" t="str">
        <x:v>Annual</x:v>
      </x:c>
      <x:c r="L84" s="14" t="str">
        <x:v>https://dachxiu.chicagobooth.edu/download/ML_supp.pdf</x:v>
      </x:c>
      <x:c r="M84" s="14" t="str">
        <x:v>https://dachxiu.chicagobooth.edu/download/datashare.zip</x:v>
      </x:c>
      <x:c r="N84" s="14" t="str">
        <x:v>Gu, Kelly &amp; Xiu Table A.6; dataset-style name uses lower case and underscores where needed.</x:v>
      </x:c>
    </x:row>
    <x:row r="85">
      <x:c r="A85" s="14" t="n">
        <x:v>84</x:v>
      </x:c>
      <x:c r="B85" s="14" t="str">
        <x:v>sgr</x:v>
      </x:c>
      <x:c r="C85" s="14" t="str">
        <x:v>sgr</x:v>
      </x:c>
      <x:c r="D85" s="14" t="str">
        <x:v>Sales growth</x:v>
      </x:c>
      <x:c r="E85" s="14" t="str">
        <x:v>销售增长</x:v>
      </x:c>
      <x:c r="F85" s="14" t="str">
        <x:v>Growth</x:v>
      </x:c>
      <x:c r="G85" s="14" t="str">
        <x:v>Lakonishok, Shleifer &amp; Vishny</x:v>
      </x:c>
      <x:c r="H85" s="14" t="n">
        <x:v>1994</x:v>
      </x:c>
      <x:c r="I85" s="14" t="str">
        <x:v>JF</x:v>
      </x:c>
      <x:c r="J85" s="14" t="str">
        <x:v>Compustat</x:v>
      </x:c>
      <x:c r="K85" s="14" t="str">
        <x:v>Annual</x:v>
      </x:c>
      <x:c r="L85" s="14" t="str">
        <x:v>https://dachxiu.chicagobooth.edu/download/ML_supp.pdf</x:v>
      </x:c>
      <x:c r="M85" s="14" t="str">
        <x:v>https://dachxiu.chicagobooth.edu/download/datashare.zip</x:v>
      </x:c>
      <x:c r="N85" s="14" t="str">
        <x:v>Gu, Kelly &amp; Xiu Table A.6; dataset-style name uses lower case and underscores where needed.</x:v>
      </x:c>
    </x:row>
    <x:row r="86">
      <x:c r="A86" s="14" t="n">
        <x:v>85</x:v>
      </x:c>
      <x:c r="B86" s="14" t="str">
        <x:v>sin</x:v>
      </x:c>
      <x:c r="C86" s="14" t="str">
        <x:v>sin</x:v>
      </x:c>
      <x:c r="D86" s="14" t="str">
        <x:v>Sin stocks</x:v>
      </x:c>
      <x:c r="E86" s="14" t="str">
        <x:v>罪恶股/争议行业股票</x:v>
      </x:c>
      <x:c r="F86" s="14" t="str">
        <x:v>Industry / sin stocks</x:v>
      </x:c>
      <x:c r="G86" s="14" t="str">
        <x:v>Hong &amp; Kacperczyk</x:v>
      </x:c>
      <x:c r="H86" s="14" t="n">
        <x:v>2009</x:v>
      </x:c>
      <x:c r="I86" s="14" t="str">
        <x:v>JFE</x:v>
      </x:c>
      <x:c r="J86" s="14" t="str">
        <x:v>Compustat</x:v>
      </x:c>
      <x:c r="K86" s="14" t="str">
        <x:v>Annual</x:v>
      </x:c>
      <x:c r="L86" s="14" t="str">
        <x:v>https://dachxiu.chicagobooth.edu/download/ML_supp.pdf</x:v>
      </x:c>
      <x:c r="M86" s="14" t="str">
        <x:v>https://dachxiu.chicagobooth.edu/download/datashare.zip</x:v>
      </x:c>
      <x:c r="N86" s="14" t="str">
        <x:v>Gu, Kelly &amp; Xiu Table A.6; dataset-style name uses lower case and underscores where needed.</x:v>
      </x:c>
    </x:row>
    <x:row r="87">
      <x:c r="A87" s="14" t="n">
        <x:v>86</x:v>
      </x:c>
      <x:c r="B87" s="14" t="str">
        <x:v>sp</x:v>
      </x:c>
      <x:c r="C87" s="14" t="str">
        <x:v>sp</x:v>
      </x:c>
      <x:c r="D87" s="14" t="str">
        <x:v>Sales to price</x:v>
      </x:c>
      <x:c r="E87" s="14" t="str">
        <x:v>销售价格比</x:v>
      </x:c>
      <x:c r="F87" s="14" t="str">
        <x:v>Value</x:v>
      </x:c>
      <x:c r="G87" s="14" t="str">
        <x:v>Barbee, Mukherji, &amp; Raines</x:v>
      </x:c>
      <x:c r="H87" s="14" t="n">
        <x:v>1996</x:v>
      </x:c>
      <x:c r="I87" s="14" t="str">
        <x:v>FAJ</x:v>
      </x:c>
      <x:c r="J87" s="14" t="str">
        <x:v>Compustat</x:v>
      </x:c>
      <x:c r="K87" s="14" t="str">
        <x:v>Annual</x:v>
      </x:c>
      <x:c r="L87" s="14" t="str">
        <x:v>https://dachxiu.chicagobooth.edu/download/ML_supp.pdf</x:v>
      </x:c>
      <x:c r="M87" s="14" t="str">
        <x:v>https://dachxiu.chicagobooth.edu/download/datashare.zip</x:v>
      </x:c>
      <x:c r="N87" s="14" t="str">
        <x:v>Gu, Kelly &amp; Xiu Table A.6; dataset-style name uses lower case and underscores where needed.</x:v>
      </x:c>
    </x:row>
    <x:row r="88">
      <x:c r="A88" s="14" t="n">
        <x:v>87</x:v>
      </x:c>
      <x:c r="B88" s="14" t="str">
        <x:v>std dolvol</x:v>
      </x:c>
      <x:c r="C88" s="14" t="str">
        <x:v>std_dolvol</x:v>
      </x:c>
      <x:c r="D88" s="14" t="str">
        <x:v>Volatility of liquidity (dollar trading volume)</x:v>
      </x:c>
      <x:c r="E88" s="14" t="str">
        <x:v>流动性波动：美元成交额波动</x:v>
      </x:c>
      <x:c r="F88" s="14" t="str">
        <x:v>Liquidity volatility</x:v>
      </x:c>
      <x:c r="G88" s="14" t="str">
        <x:v>Chordia, Subrahmanyam &amp; Anshuman</x:v>
      </x:c>
      <x:c r="H88" s="14" t="n">
        <x:v>2001</x:v>
      </x:c>
      <x:c r="I88" s="14" t="str">
        <x:v>JFE</x:v>
      </x:c>
      <x:c r="J88" s="14" t="str">
        <x:v>CRSP</x:v>
      </x:c>
      <x:c r="K88" s="14" t="str">
        <x:v>Monthly</x:v>
      </x:c>
      <x:c r="L88" s="14" t="str">
        <x:v>https://dachxiu.chicagobooth.edu/download/ML_supp.pdf</x:v>
      </x:c>
      <x:c r="M88" s="14" t="str">
        <x:v>https://dachxiu.chicagobooth.edu/download/datashare.zip</x:v>
      </x:c>
      <x:c r="N88" s="14" t="str">
        <x:v>Gu, Kelly &amp; Xiu Table A.6; dataset-style name uses lower case and underscores where needed.</x:v>
      </x:c>
    </x:row>
    <x:row r="89">
      <x:c r="A89" s="14" t="n">
        <x:v>88</x:v>
      </x:c>
      <x:c r="B89" s="14" t="str">
        <x:v>std turn</x:v>
      </x:c>
      <x:c r="C89" s="14" t="str">
        <x:v>std_turn</x:v>
      </x:c>
      <x:c r="D89" s="14" t="str">
        <x:v>Volatility of liquidity (share turnover)</x:v>
      </x:c>
      <x:c r="E89" s="14" t="str">
        <x:v>流动性波动：换手率波动</x:v>
      </x:c>
      <x:c r="F89" s="14" t="str">
        <x:v>Liquidity volatility</x:v>
      </x:c>
      <x:c r="G89" s="14" t="str">
        <x:v>Chordia, Subrahmanyam, &amp; Anshuman</x:v>
      </x:c>
      <x:c r="H89" s="14" t="n">
        <x:v>2001</x:v>
      </x:c>
      <x:c r="I89" s="14" t="str">
        <x:v>JFE</x:v>
      </x:c>
      <x:c r="J89" s="14" t="str">
        <x:v>CRSP</x:v>
      </x:c>
      <x:c r="K89" s="14" t="str">
        <x:v>Monthly</x:v>
      </x:c>
      <x:c r="L89" s="14" t="str">
        <x:v>https://dachxiu.chicagobooth.edu/download/ML_supp.pdf</x:v>
      </x:c>
      <x:c r="M89" s="14" t="str">
        <x:v>https://dachxiu.chicagobooth.edu/download/datashare.zip</x:v>
      </x:c>
      <x:c r="N89" s="14" t="str">
        <x:v>Gu, Kelly &amp; Xiu Table A.6; dataset-style name uses lower case and underscores where needed.</x:v>
      </x:c>
    </x:row>
    <x:row r="90">
      <x:c r="A90" s="14" t="n">
        <x:v>89</x:v>
      </x:c>
      <x:c r="B90" s="14" t="str">
        <x:v>stdacc</x:v>
      </x:c>
      <x:c r="C90" s="14" t="str">
        <x:v>stdacc</x:v>
      </x:c>
      <x:c r="D90" s="14" t="str">
        <x:v>Accrual volatility</x:v>
      </x:c>
      <x:c r="E90" s="14" t="str">
        <x:v>应计项目波动率</x:v>
      </x:c>
      <x:c r="F90" s="14" t="str">
        <x:v>Accruals / accounting quality</x:v>
      </x:c>
      <x:c r="G90" s="14" t="str">
        <x:v>Bandyopadhyay, Huang &amp; Wirjanto</x:v>
      </x:c>
      <x:c r="H90" s="14" t="n">
        <x:v>2010</x:v>
      </x:c>
      <x:c r="I90" s="14" t="str">
        <x:v>WP</x:v>
      </x:c>
      <x:c r="J90" s="14" t="str">
        <x:v>Compustat</x:v>
      </x:c>
      <x:c r="K90" s="14" t="str">
        <x:v>Quarterly</x:v>
      </x:c>
      <x:c r="L90" s="14" t="str">
        <x:v>https://dachxiu.chicagobooth.edu/download/ML_supp.pdf</x:v>
      </x:c>
      <x:c r="M90" s="14" t="str">
        <x:v>https://dachxiu.chicagobooth.edu/download/datashare.zip</x:v>
      </x:c>
      <x:c r="N90" s="14" t="str">
        <x:v>Gu, Kelly &amp; Xiu Table A.6; dataset-style name uses lower case and underscores where needed.</x:v>
      </x:c>
    </x:row>
    <x:row r="91">
      <x:c r="A91" s="14" t="n">
        <x:v>90</x:v>
      </x:c>
      <x:c r="B91" s="14" t="str">
        <x:v>stdcf</x:v>
      </x:c>
      <x:c r="C91" s="14" t="str">
        <x:v>stdcf</x:v>
      </x:c>
      <x:c r="D91" s="14" t="str">
        <x:v>Cash flow volatility</x:v>
      </x:c>
      <x:c r="E91" s="14" t="str">
        <x:v>现金流波动率</x:v>
      </x:c>
      <x:c r="F91" s="14" t="str">
        <x:v>Cash flow risk</x:v>
      </x:c>
      <x:c r="G91" s="14" t="str">
        <x:v>Huang</x:v>
      </x:c>
      <x:c r="H91" s="14" t="n">
        <x:v>2009</x:v>
      </x:c>
      <x:c r="I91" s="14" t="str">
        <x:v>JEF</x:v>
      </x:c>
      <x:c r="J91" s="14" t="str">
        <x:v>Compustat</x:v>
      </x:c>
      <x:c r="K91" s="14" t="str">
        <x:v>Quarterly</x:v>
      </x:c>
      <x:c r="L91" s="14" t="str">
        <x:v>https://dachxiu.chicagobooth.edu/download/ML_supp.pdf</x:v>
      </x:c>
      <x:c r="M91" s="14" t="str">
        <x:v>https://dachxiu.chicagobooth.edu/download/datashare.zip</x:v>
      </x:c>
      <x:c r="N91" s="14" t="str">
        <x:v>Gu, Kelly &amp; Xiu Table A.6; dataset-style name uses lower case and underscores where needed.</x:v>
      </x:c>
    </x:row>
    <x:row r="92">
      <x:c r="A92" s="14" t="n">
        <x:v>91</x:v>
      </x:c>
      <x:c r="B92" s="14" t="str">
        <x:v>tang</x:v>
      </x:c>
      <x:c r="C92" s="14" t="str">
        <x:v>tang</x:v>
      </x:c>
      <x:c r="D92" s="14" t="str">
        <x:v>Debt capacity/firm tangibility</x:v>
      </x:c>
      <x:c r="E92" s="14" t="str">
        <x:v>债务承载能力/有形资产比</x:v>
      </x:c>
      <x:c r="F92" s="14" t="str">
        <x:v>Tangibility / debt capacity</x:v>
      </x:c>
      <x:c r="G92" s="14" t="str">
        <x:v>Almeida &amp; Campello</x:v>
      </x:c>
      <x:c r="H92" s="14" t="n">
        <x:v>2007</x:v>
      </x:c>
      <x:c r="I92" s="14" t="str">
        <x:v>RFS</x:v>
      </x:c>
      <x:c r="J92" s="14" t="str">
        <x:v>Compustat</x:v>
      </x:c>
      <x:c r="K92" s="14" t="str">
        <x:v>Annual</x:v>
      </x:c>
      <x:c r="L92" s="14" t="str">
        <x:v>https://dachxiu.chicagobooth.edu/download/ML_supp.pdf</x:v>
      </x:c>
      <x:c r="M92" s="14" t="str">
        <x:v>https://dachxiu.chicagobooth.edu/download/datashare.zip</x:v>
      </x:c>
      <x:c r="N92" s="14" t="str">
        <x:v>Gu, Kelly &amp; Xiu Table A.6; dataset-style name uses lower case and underscores where needed.</x:v>
      </x:c>
    </x:row>
    <x:row r="93">
      <x:c r="A93" s="14" t="n">
        <x:v>92</x:v>
      </x:c>
      <x:c r="B93" s="14" t="str">
        <x:v>tb</x:v>
      </x:c>
      <x:c r="C93" s="14" t="str">
        <x:v>tb</x:v>
      </x:c>
      <x:c r="D93" s="14" t="str">
        <x:v>Tax income to book income</x:v>
      </x:c>
      <x:c r="E93" s="14" t="str">
        <x:v>税务利润与账面利润比</x:v>
      </x:c>
      <x:c r="F93" s="14" t="str">
        <x:v>Tax / accounting quality</x:v>
      </x:c>
      <x:c r="G93" s="14" t="str">
        <x:v>Lev &amp; Nissim</x:v>
      </x:c>
      <x:c r="H93" s="14" t="n">
        <x:v>2004</x:v>
      </x:c>
      <x:c r="I93" s="14" t="str">
        <x:v>TAR</x:v>
      </x:c>
      <x:c r="J93" s="14" t="str">
        <x:v>Compustat</x:v>
      </x:c>
      <x:c r="K93" s="14" t="str">
        <x:v>Annual</x:v>
      </x:c>
      <x:c r="L93" s="14" t="str">
        <x:v>https://dachxiu.chicagobooth.edu/download/ML_supp.pdf</x:v>
      </x:c>
      <x:c r="M93" s="14" t="str">
        <x:v>https://dachxiu.chicagobooth.edu/download/datashare.zip</x:v>
      </x:c>
      <x:c r="N93" s="14" t="str">
        <x:v>Gu, Kelly &amp; Xiu Table A.6; dataset-style name uses lower case and underscores where needed.</x:v>
      </x:c>
    </x:row>
    <x:row r="94">
      <x:c r="A94" s="14" t="n">
        <x:v>93</x:v>
      </x:c>
      <x:c r="B94" s="14" t="str">
        <x:v>turn</x:v>
      </x:c>
      <x:c r="C94" s="14" t="str">
        <x:v>turn</x:v>
      </x:c>
      <x:c r="D94" s="14" t="str">
        <x:v>Share turnover</x:v>
      </x:c>
      <x:c r="E94" s="14" t="str">
        <x:v>换手率</x:v>
      </x:c>
      <x:c r="F94" s="14" t="str">
        <x:v>Liquidity / trading activity</x:v>
      </x:c>
      <x:c r="G94" s="14" t="str">
        <x:v>Datar, Naik &amp; Radcliffe</x:v>
      </x:c>
      <x:c r="H94" s="14" t="n">
        <x:v>1998</x:v>
      </x:c>
      <x:c r="I94" s="14" t="str">
        <x:v>JFM</x:v>
      </x:c>
      <x:c r="J94" s="14" t="str">
        <x:v>CRSP</x:v>
      </x:c>
      <x:c r="K94" s="14" t="str">
        <x:v>Monthly</x:v>
      </x:c>
      <x:c r="L94" s="14" t="str">
        <x:v>https://dachxiu.chicagobooth.edu/download/ML_supp.pdf</x:v>
      </x:c>
      <x:c r="M94" s="14" t="str">
        <x:v>https://dachxiu.chicagobooth.edu/download/datashare.zip</x:v>
      </x:c>
      <x:c r="N94" s="14" t="str">
        <x:v>Gu, Kelly &amp; Xiu Table A.6; dataset-style name uses lower case and underscores where needed.</x:v>
      </x:c>
    </x:row>
    <x:row r="95">
      <x:c r="A95" s="14" t="n">
        <x:v>94</x:v>
      </x:c>
      <x:c r="B95" s="14" t="str">
        <x:v>zerotrade</x:v>
      </x:c>
      <x:c r="C95" s="14" t="str">
        <x:v>zerotrade</x:v>
      </x:c>
      <x:c r="D95" s="14" t="str">
        <x:v>Zero trading days</x:v>
      </x:c>
      <x:c r="E95" s="14" t="str">
        <x:v>零交易日数</x:v>
      </x:c>
      <x:c r="F95" s="14" t="str">
        <x:v>Liquidity / trading activity</x:v>
      </x:c>
      <x:c r="G95" s="14" t="str">
        <x:v>Liu</x:v>
      </x:c>
      <x:c r="H95" s="14" t="n">
        <x:v>2006</x:v>
      </x:c>
      <x:c r="I95" s="14" t="str">
        <x:v>JFE</x:v>
      </x:c>
      <x:c r="J95" s="14" t="str">
        <x:v>CRSP</x:v>
      </x:c>
      <x:c r="K95" s="14" t="str">
        <x:v>Monthly</x:v>
      </x:c>
      <x:c r="L95" s="14" t="str">
        <x:v>https://dachxiu.chicagobooth.edu/download/ML_supp.pdf</x:v>
      </x:c>
      <x:c r="M95" s="14" t="str">
        <x:v>https://dachxiu.chicagobooth.edu/download/datashare.zip</x:v>
      </x:c>
      <x:c r="N95" s="14" t="str">
        <x:v>Gu, Kelly &amp; Xiu Table A.6; dataset-style name uses lower case and underscores where needed.</x:v>
      </x:c>
    </x:row>
  </x:sheetData>
  <x:pageMargins left="0.7" right="0.7" top="0.75" bottom="0.75" header="0.3" footer="0.3"/>
  <x:tableParts count="1">
    <x:tablePart xmlns:r="http://schemas.openxmlformats.org/officeDocument/2006/relationships" r:id="Reedfd02ef9df4f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0" customHeight="1">
      <x:c r="A1" s="17" t="str">
        <x:v>Gu, Kelly &amp; Xiu (2019/2020) 94 Firm Characteristics 数据字典</x:v>
      </x:c>
      <x:c r="B1" t="str"/>
    </x:row>
    <x:row r="2">
      <x:c r="A2" s="21" t="str">
        <x:v>Generated</x:v>
      </x:c>
      <x:c r="B2" s="12" t="str">
        <x:v>2026-06-29 01:48</x:v>
      </x:c>
    </x:row>
    <x:row r="3">
      <x:c r="A3" s="21" t="str">
        <x:v>Source basis</x:v>
      </x:c>
      <x:c r="B3" s="12" t="str">
        <x:v>Internet Appendix Table A.6: Details of the Characteristics</x:v>
      </x:c>
    </x:row>
    <x:row r="4">
      <x:c r="A4" s="21" t="str">
        <x:v>Scope</x:v>
      </x:c>
      <x:c r="B4" s="12" t="str">
        <x:v>94 stock-level characteristics used in Empirical Asset Pricing via Machine Learning</x:v>
      </x:c>
    </x:row>
    <x:row r="5">
      <x:c r="A5" s="21" t="str">
        <x:v>Annual characteristics</x:v>
      </x:c>
      <x:c r="B5" s="12" t="n">
        <x:f>COUNTIF(Characteristics_94!K:K,"Annual")</x:f>
        <x:v>61</x:v>
      </x:c>
    </x:row>
    <x:row r="6">
      <x:c r="A6" s="21" t="str">
        <x:v>Quarterly characteristics</x:v>
      </x:c>
      <x:c r="B6" s="12" t="n">
        <x:f>COUNTIF(Characteristics_94!K:K,"Quarterly")</x:f>
        <x:v>13</x:v>
      </x:c>
    </x:row>
    <x:row r="7">
      <x:c r="A7" s="21" t="str">
        <x:v>Monthly characteristics</x:v>
      </x:c>
      <x:c r="B7" s="12" t="n">
        <x:f>COUNTIF(Characteristics_94!K:K,"Monthly")</x:f>
        <x:v>20</x:v>
      </x:c>
    </x:row>
    <x:row r="8">
      <x:c r="A8" s="21" t="str">
        <x:v>Total characteristics</x:v>
      </x:c>
      <x:c r="B8" s="12" t="n">
        <x:f>COUNTA(Characteristics_94!A:A)-1</x:f>
        <x:v>94</x:v>
      </x:c>
    </x:row>
    <x:row r="9">
      <x:c r="A9" s="21" t="str">
        <x:v>Primary article URL</x:v>
      </x:c>
      <x:c r="B9" s="12" t="str">
        <x:v>https://academic.oup.com/rfs/article/33/5/2223/5758276</x:v>
      </x:c>
    </x:row>
    <x:row r="10">
      <x:c r="A10" s="21" t="str">
        <x:v>Internet appendix URL</x:v>
      </x:c>
      <x:c r="B10" s="12" t="str">
        <x:v>https://dachxiu.chicagobooth.edu/download/ML_supp.pdf</x:v>
      </x:c>
    </x:row>
    <x:row r="11">
      <x:c r="A11" s="21" t="str">
        <x:v>Empirical data URL</x:v>
      </x:c>
      <x:c r="B11" s="12" t="str">
        <x:v>https://dachxiu.chicagobooth.edu/download/datashare.zip</x:v>
      </x:c>
    </x:row>
    <x:row r="12">
      <x:c r="A12" s="21" t="str">
        <x:v>Replication note URL</x:v>
      </x:c>
      <x:c r="B12" s="12" t="str">
        <x:v>https://www.tidy-finance.org/blog/gu-kelly-xiu-replication/</x:v>
      </x:c>
    </x:row>
    <x:row r="13">
      <x:c r="A13" s="21" t="str">
        <x:v>Equity characteristics code URL</x:v>
      </x:c>
      <x:c r="B13" s="12" t="str">
        <x:v>https://feng-cityuhk.github.io/EquityCharacteristics/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70" hidden="0" customWidth="1"/>
  </x:cols>
  <x:sheetData>
    <x:row r="1">
      <x:c r="A1" s="5" t="str">
        <x:v>Economic Group</x:v>
      </x:c>
      <x:c r="B1" s="5" t="str">
        <x:v>Count</x:v>
      </x:c>
      <x:c r="C1" s="5" t="str">
        <x:v>Example Variables</x:v>
      </x:c>
    </x:row>
    <x:row r="2">
      <x:c r="A2" t="str">
        <x:v>Accruals / accounting quality</x:v>
      </x:c>
      <x:c r="B2" t="n">
        <x:v>4</x:v>
      </x:c>
      <x:c r="C2" t="str">
        <x:v>absacc, acc, pctacc, stdacc</x:v>
      </x:c>
    </x:row>
    <x:row r="3">
      <x:c r="A3" t="str">
        <x:v>Earnings announcement / event</x:v>
      </x:c>
      <x:c r="B3" t="n">
        <x:v>2</x:v>
      </x:c>
      <x:c r="C3" t="str">
        <x:v>aeavol, ear</x:v>
      </x:c>
    </x:row>
    <x:row r="4">
      <x:c r="A4" t="str">
        <x:v>Firm age / lifecycle</x:v>
      </x:c>
      <x:c r="B4" t="n">
        <x:v>1</x:v>
      </x:c>
      <x:c r="C4" t="str">
        <x:v>age</x:v>
      </x:c>
    </x:row>
    <x:row r="5">
      <x:c r="A5" t="str">
        <x:v>Investment / growth</x:v>
      </x:c>
      <x:c r="B5" t="n">
        <x:v>1</x:v>
      </x:c>
      <x:c r="C5" t="str">
        <x:v>agr</x:v>
      </x:c>
    </x:row>
    <x:row r="6">
      <x:c r="A6" t="str">
        <x:v>Liquidity / transaction cost</x:v>
      </x:c>
      <x:c r="B6" t="n">
        <x:v>1</x:v>
      </x:c>
      <x:c r="C6" t="str">
        <x:v>baspread</x:v>
      </x:c>
    </x:row>
    <x:row r="7">
      <x:c r="A7" t="str">
        <x:v>Market risk</x:v>
      </x:c>
      <x:c r="B7" t="n">
        <x:v>1</x:v>
      </x:c>
      <x:c r="C7" t="str">
        <x:v>beta</x:v>
      </x:c>
    </x:row>
    <x:row r="8">
      <x:c r="A8" t="str">
        <x:v>Market risk / nonlinearity</x:v>
      </x:c>
      <x:c r="B8" t="n">
        <x:v>1</x:v>
      </x:c>
      <x:c r="C8" t="str">
        <x:v>betasq</x:v>
      </x:c>
    </x:row>
    <x:row r="9">
      <x:c r="A9" t="str">
        <x:v>Value</x:v>
      </x:c>
      <x:c r="B9" t="n">
        <x:v>6</x:v>
      </x:c>
      <x:c r="C9" t="str">
        <x:v>bm, bm_ia, cfp, cfp_ia, ep, sp</x:v>
      </x:c>
    </x:row>
    <x:row r="10">
      <x:c r="A10" t="str">
        <x:v>Cash / balance sheet</x:v>
      </x:c>
      <x:c r="B10" t="n">
        <x:v>1</x:v>
      </x:c>
      <x:c r="C10" t="str">
        <x:v>cash</x:v>
      </x:c>
    </x:row>
    <x:row r="11">
      <x:c r="A11" t="str">
        <x:v>Debt capacity / solvency</x:v>
      </x:c>
      <x:c r="B11" t="n">
        <x:v>1</x:v>
      </x:c>
      <x:c r="C11" t="str">
        <x:v>cashdebt</x:v>
      </x:c>
    </x:row>
    <x:row r="12">
      <x:c r="A12" t="str">
        <x:v>Profitability / value</x:v>
      </x:c>
      <x:c r="B12" t="n">
        <x:v>1</x:v>
      </x:c>
      <x:c r="C12" t="str">
        <x:v>cashpr</x:v>
      </x:c>
    </x:row>
    <x:row r="13">
      <x:c r="A13" t="str">
        <x:v>Operating efficiency</x:v>
      </x:c>
      <x:c r="B13" t="n">
        <x:v>2</x:v>
      </x:c>
      <x:c r="C13" t="str">
        <x:v>chatoia, salecash</x:v>
      </x:c>
    </x:row>
    <x:row r="14">
      <x:c r="A14" t="str">
        <x:v>Issuance / financing</x:v>
      </x:c>
      <x:c r="B14" t="n">
        <x:v>1</x:v>
      </x:c>
      <x:c r="C14" t="str">
        <x:v>chcsho</x:v>
      </x:c>
    </x:row>
    <x:row r="15">
      <x:c r="A15" t="str">
        <x:v>Labor / operating growth</x:v>
      </x:c>
      <x:c r="B15" t="n">
        <x:v>2</x:v>
      </x:c>
      <x:c r="C15" t="str">
        <x:v>chempia, hire</x:v>
      </x:c>
    </x:row>
    <x:row r="16">
      <x:c r="A16" t="str">
        <x:v>Inventory / investment</x:v>
      </x:c>
      <x:c r="B16" t="n">
        <x:v>1</x:v>
      </x:c>
      <x:c r="C16" t="str">
        <x:v>chinv</x:v>
      </x:c>
    </x:row>
    <x:row r="17">
      <x:c r="A17" t="str">
        <x:v>Momentum</x:v>
      </x:c>
      <x:c r="B17" t="n">
        <x:v>4</x:v>
      </x:c>
      <x:c r="C17" t="str">
        <x:v>chmom, indmom, mom12m, mom6m</x:v>
      </x:c>
    </x:row>
    <x:row r="18">
      <x:c r="A18" t="str">
        <x:v>Profitability</x:v>
      </x:c>
      <x:c r="B18" t="n">
        <x:v>6</x:v>
      </x:c>
      <x:c r="C18" t="str">
        <x:v>chpmia, gma, operprof, roaq, roeq, roic</x:v>
      </x:c>
    </x:row>
    <x:row r="19">
      <x:c r="A19" t="str">
        <x:v>Tax / earnings quality</x:v>
      </x:c>
      <x:c r="B19" t="n">
        <x:v>1</x:v>
      </x:c>
      <x:c r="C19" t="str">
        <x:v>chtx</x:v>
      </x:c>
    </x:row>
    <x:row r="20">
      <x:c r="A20" t="str">
        <x:v>Investment</x:v>
      </x:c>
      <x:c r="B20" t="n">
        <x:v>4</x:v>
      </x:c>
      <x:c r="C20" t="str">
        <x:v>cinvest, grcapx, invest, pchcapx_ia</x:v>
      </x:c>
    </x:row>
    <x:row r="21">
      <x:c r="A21" t="str">
        <x:v>Debt structure</x:v>
      </x:c>
      <x:c r="B21" t="n">
        <x:v>3</x:v>
      </x:c>
      <x:c r="C21" t="str">
        <x:v>convind, secured, securedind</x:v>
      </x:c>
    </x:row>
    <x:row r="22">
      <x:c r="A22" t="str">
        <x:v>Liquidity / solvency</x:v>
      </x:c>
      <x:c r="B22" t="n">
        <x:v>4</x:v>
      </x:c>
      <x:c r="C22" t="str">
        <x:v>currat, pchcurrat, pchquick, quick</x:v>
      </x:c>
    </x:row>
    <x:row r="23">
      <x:c r="A23" t="str">
        <x:v>Accounting / asset intensity</x:v>
      </x:c>
      <x:c r="B23" t="n">
        <x:v>2</x:v>
      </x:c>
      <x:c r="C23" t="str">
        <x:v>depr, pchdepr</x:v>
      </x:c>
    </x:row>
    <x:row r="24">
      <x:c r="A24" t="str">
        <x:v>Payout policy</x:v>
      </x:c>
      <x:c r="B24" t="n">
        <x:v>2</x:v>
      </x:c>
      <x:c r="C24" t="str">
        <x:v>divi, divo</x:v>
      </x:c>
    </x:row>
    <x:row r="25">
      <x:c r="A25" t="str">
        <x:v>Liquidity / trading activity</x:v>
      </x:c>
      <x:c r="B25" t="n">
        <x:v>3</x:v>
      </x:c>
      <x:c r="C25" t="str">
        <x:v>dolvol, turn, zerotrade</x:v>
      </x:c>
    </x:row>
    <x:row r="26">
      <x:c r="A26" t="str">
        <x:v>Value / payout</x:v>
      </x:c>
      <x:c r="B26" t="n">
        <x:v>1</x:v>
      </x:c>
      <x:c r="C26" t="str">
        <x:v>dy</x:v>
      </x:c>
    </x:row>
    <x:row r="27">
      <x:c r="A27" t="str">
        <x:v>Growth</x:v>
      </x:c>
      <x:c r="B27" t="n">
        <x:v>2</x:v>
      </x:c>
      <x:c r="C27" t="str">
        <x:v>egr, sgr</x:v>
      </x:c>
    </x:row>
    <x:row r="28">
      <x:c r="A28" t="str">
        <x:v>Investment / operating assets</x:v>
      </x:c>
      <x:c r="B28" t="n">
        <x:v>1</x:v>
      </x:c>
      <x:c r="C28" t="str">
        <x:v>grltnoa</x:v>
      </x:c>
    </x:row>
    <x:row r="29">
      <x:c r="A29" t="str">
        <x:v>Industry structure</x:v>
      </x:c>
      <x:c r="B29" t="n">
        <x:v>1</x:v>
      </x:c>
      <x:c r="C29" t="str">
        <x:v>herf</x:v>
      </x:c>
    </x:row>
    <x:row r="30">
      <x:c r="A30" t="str">
        <x:v>Volatility / risk</x:v>
      </x:c>
      <x:c r="B30" t="n">
        <x:v>2</x:v>
      </x:c>
      <x:c r="C30" t="str">
        <x:v>idiovol, retvol</x:v>
      </x:c>
    </x:row>
    <x:row r="31">
      <x:c r="A31" t="str">
        <x:v>Liquidity</x:v>
      </x:c>
      <x:c r="B31" t="n">
        <x:v>1</x:v>
      </x:c>
      <x:c r="C31" t="str">
        <x:v>ill</x:v>
      </x:c>
    </x:row>
    <x:row r="32">
      <x:c r="A32" t="str">
        <x:v>Leverage</x:v>
      </x:c>
      <x:c r="B32" t="n">
        <x:v>1</x:v>
      </x:c>
      <x:c r="C32" t="str">
        <x:v>lev</x:v>
      </x:c>
    </x:row>
    <x:row r="33">
      <x:c r="A33" t="str">
        <x:v>Leverage / financing</x:v>
      </x:c>
      <x:c r="B33" t="n">
        <x:v>1</x:v>
      </x:c>
      <x:c r="C33" t="str">
        <x:v>lgr</x:v>
      </x:c>
    </x:row>
    <x:row r="34">
      <x:c r="A34" t="str">
        <x:v>Extreme return / lottery</x:v>
      </x:c>
      <x:c r="B34" t="n">
        <x:v>1</x:v>
      </x:c>
      <x:c r="C34" t="str">
        <x:v>maxret</x:v>
      </x:c>
    </x:row>
    <x:row r="35">
      <x:c r="A35" t="str">
        <x:v>Momentum / reversal</x:v>
      </x:c>
      <x:c r="B35" t="n">
        <x:v>2</x:v>
      </x:c>
      <x:c r="C35" t="str">
        <x:v>mom1m, mom36m</x:v>
      </x:c>
    </x:row>
    <x:row r="36">
      <x:c r="A36" t="str">
        <x:v>Accounting score / quality</x:v>
      </x:c>
      <x:c r="B36" t="n">
        <x:v>2</x:v>
      </x:c>
      <x:c r="C36" t="str">
        <x:v>ms, ps</x:v>
      </x:c>
    </x:row>
    <x:row r="37">
      <x:c r="A37" t="str">
        <x:v>Size</x:v>
      </x:c>
      <x:c r="B37" t="n">
        <x:v>2</x:v>
      </x:c>
      <x:c r="C37" t="str">
        <x:v>mvel1, mve_ia</x:v>
      </x:c>
    </x:row>
    <x:row r="38">
      <x:c r="A38" t="str">
        <x:v>Earnings quality</x:v>
      </x:c>
      <x:c r="B38" t="n">
        <x:v>1</x:v>
      </x:c>
      <x:c r="C38" t="str">
        <x:v>nincr</x:v>
      </x:c>
    </x:row>
    <x:row r="39">
      <x:c r="A39" t="str">
        <x:v>Intangible capital</x:v>
      </x:c>
      <x:c r="B39" t="n">
        <x:v>1</x:v>
      </x:c>
      <x:c r="C39" t="str">
        <x:v>orgcap</x:v>
      </x:c>
    </x:row>
    <x:row r="40">
      <x:c r="A40" t="str">
        <x:v>Profitability / operating efficiency</x:v>
      </x:c>
      <x:c r="B40" t="n">
        <x:v>1</x:v>
      </x:c>
      <x:c r="C40" t="str">
        <x:v>pchgm_pchsale</x:v>
      </x:c>
    </x:row>
    <x:row r="41">
      <x:c r="A41" t="str">
        <x:v>Operating efficiency / inventory</x:v>
      </x:c>
      <x:c r="B41" t="n">
        <x:v>3</x:v>
      </x:c>
      <x:c r="C41" t="str">
        <x:v>pchsale_pchinvt, pchsaleinv, saleinv</x:v>
      </x:c>
    </x:row>
    <x:row r="42">
      <x:c r="A42" t="str">
        <x:v>Operating efficiency / receivables</x:v>
      </x:c>
      <x:c r="B42" t="n">
        <x:v>2</x:v>
      </x:c>
      <x:c r="C42" t="str">
        <x:v>pchsale_pchrect, salerec</x:v>
      </x:c>
    </x:row>
    <x:row r="43">
      <x:c r="A43" t="str">
        <x:v>Operating efficiency / expense control</x:v>
      </x:c>
      <x:c r="B43" t="n">
        <x:v>1</x:v>
      </x:c>
      <x:c r="C43" t="str">
        <x:v>pchsale_pchxsga</x:v>
      </x:c>
    </x:row>
    <x:row r="44">
      <x:c r="A44" t="str">
        <x:v>Liquidity / information diffusion</x:v>
      </x:c>
      <x:c r="B44" t="n">
        <x:v>1</x:v>
      </x:c>
      <x:c r="C44" t="str">
        <x:v>pricedelay</x:v>
      </x:c>
    </x:row>
    <x:row r="45">
      <x:c r="A45" t="str">
        <x:v>R&amp;D / intangible investment</x:v>
      </x:c>
      <x:c r="B45" t="n">
        <x:v>3</x:v>
      </x:c>
      <x:c r="C45" t="str">
        <x:v>rd, rd_mve, rd_sale</x:v>
      </x:c>
    </x:row>
    <x:row r="46">
      <x:c r="A46" t="str">
        <x:v>Asset composition</x:v>
      </x:c>
      <x:c r="B46" t="n">
        <x:v>1</x:v>
      </x:c>
      <x:c r="C46" t="str">
        <x:v>realestate</x:v>
      </x:c>
    </x:row>
    <x:row r="47">
      <x:c r="A47" t="str">
        <x:v>Earnings quality / risk</x:v>
      </x:c>
      <x:c r="B47" t="n">
        <x:v>1</x:v>
      </x:c>
      <x:c r="C47" t="str">
        <x:v>roavol</x:v>
      </x:c>
    </x:row>
    <x:row r="48">
      <x:c r="A48" t="str">
        <x:v>Earnings / revenue surprise</x:v>
      </x:c>
      <x:c r="B48" t="n">
        <x:v>1</x:v>
      </x:c>
      <x:c r="C48" t="str">
        <x:v>rsup</x:v>
      </x:c>
    </x:row>
    <x:row r="49">
      <x:c r="A49" t="str">
        <x:v>Industry / sin stocks</x:v>
      </x:c>
      <x:c r="B49" t="n">
        <x:v>1</x:v>
      </x:c>
      <x:c r="C49" t="str">
        <x:v>sin</x:v>
      </x:c>
    </x:row>
    <x:row r="50">
      <x:c r="A50" t="str">
        <x:v>Liquidity volatility</x:v>
      </x:c>
      <x:c r="B50" t="n">
        <x:v>2</x:v>
      </x:c>
      <x:c r="C50" t="str">
        <x:v>std_dolvol, std_turn</x:v>
      </x:c>
    </x:row>
    <x:row r="51">
      <x:c r="A51" t="str">
        <x:v>Cash flow risk</x:v>
      </x:c>
      <x:c r="B51" t="n">
        <x:v>1</x:v>
      </x:c>
      <x:c r="C51" t="str">
        <x:v>stdcf</x:v>
      </x:c>
    </x:row>
    <x:row r="52">
      <x:c r="A52" t="str">
        <x:v>Tangibility / debt capacity</x:v>
      </x:c>
      <x:c r="B52" t="n">
        <x:v>1</x:v>
      </x:c>
      <x:c r="C52" t="str">
        <x:v>tang</x:v>
      </x:c>
    </x:row>
    <x:row r="53">
      <x:c r="A53" t="str">
        <x:v>Tax / accounting quality</x:v>
      </x:c>
      <x:c r="B53" t="n">
        <x:v>1</x:v>
      </x:c>
      <x:c r="C53" t="str">
        <x:v>tb</x:v>
      </x:c>
    </x:row>
  </x:sheetData>
  <x:pageMargins left="0.7" right="0.7" top="0.75" bottom="0.75" header="0.3" footer="0.3"/>
  <x:tableParts count="1">
    <x:tablePart xmlns:r="http://schemas.openxmlformats.org/officeDocument/2006/relationships" r:id="Rd71a4ecfd99047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65" hidden="0" customWidth="1"/>
  </x:cols>
  <x:sheetData>
    <x:row r="1">
      <x:c r="A1" s="24" t="str">
        <x:v>Topic</x:v>
      </x:c>
      <x:c r="B1" s="24" t="str">
        <x:v>Note</x:v>
      </x:c>
      <x:c r="C1" s="24" t="str">
        <x:v>Source URL</x:v>
      </x:c>
    </x:row>
    <x:row r="2">
      <x:c r="A2" s="12" t="str">
        <x:v>Source of the 94-variable list</x:v>
      </x:c>
      <x:c r="B2" s="12" t="str">
        <x:v>The list is transcribed from Table A.6 in the Internet Appendix to Gu, Kelly &amp; Xiu, Empirical Asset Pricing via Machine Learning. The appendix states that the characteristics are collected in Green et al. (2017).</x:v>
      </x:c>
      <x:c r="C2" s="12" t="str">
        <x:v>https://dachxiu.chicagobooth.edu/download/ML_supp.pdf</x:v>
      </x:c>
    </x:row>
    <x:row r="3">
      <x:c r="A3" s="12" t="str">
        <x:v>Frequency counts</x:v>
      </x:c>
      <x:c r="B3" s="12" t="str">
        <x:v>The original paper states that the 94 stock-level characteristics include 61 annual, 13 quarterly, and 20 monthly variables.</x:v>
      </x:c>
      <x:c r="C3" s="12" t="str">
        <x:v>https://academic.oup.com/rfs/article/33/5/2223/5758276</x:v>
      </x:c>
    </x:row>
    <x:row r="4">
      <x:c r="A4" s="12" t="str">
        <x:v>Data availability</x:v>
      </x:c>
      <x:c r="B4" s="12" t="str">
        <x:v>Dacheng Xiu’s homepage provides the empirical data file datashare.zip, which contains the stock-level characteristics used for replication/extensions.</x:v>
      </x:c>
      <x:c r="C4" s="12" t="str">
        <x:v>https://dachxiu.chicagobooth.edu/download/datashare.zip</x:v>
      </x:c>
    </x:row>
    <x:row r="5">
      <x:c r="A5" s="12" t="str">
        <x:v>Preprocessing in Gu/Kelly/Xiu setting</x:v>
      </x:c>
      <x:c r="B5" s="12" t="str">
        <x:v>Characteristics are typically cross-sectionally ranked into [-1,1]; missing characteristics are handled cross-sectionally. Practical replications sometimes replace remaining NAs with zero after median imputation.</x:v>
      </x:c>
      <x:c r="C5" s="12" t="str">
        <x:v>https://www.tidy-finance.org/blog/gu-kelly-xiu-replication/</x:v>
      </x:c>
    </x:row>
    <x:row r="6">
      <x:c r="A6" s="12" t="str">
        <x:v>Timing / lag convention in CAFPO paper</x:v>
      </x:c>
      <x:c r="B6" s="12" t="str">
        <x:v>The uploaded CAFPO paper follows the lag convention: monthly variables lag 1 month, quarterly variables lag 4 months, annual variables lag 6 months, then rank-normalizes characteristics into (-1,1).</x:v>
      </x:c>
      <x:c r="C6" s="12" t="str">
        <x:v>Uploaded paper: Deep Reinforcement Learning in Factor Investment, Data section</x:v>
      </x:c>
    </x:row>
    <x:row r="7">
      <x:c r="A7" s="12" t="str">
        <x:v>Formula-level construction</x:v>
      </x:c>
      <x:c r="B7" s="12" t="str">
        <x:v>For exact variable construction code, use the EquityCharacteristics repository or the original anomaly papers listed in Table A.6.</x:v>
      </x:c>
      <x:c r="C7" s="12" t="str">
        <x:v>https://feng-cityuhk.github.io/EquityCharacteristics/</x:v>
      </x:c>
    </x:row>
  </x:sheetData>
  <x:pageMargins left="0.7" right="0.7" top="0.75" bottom="0.75" header="0.3" footer="0.3"/>
  <x:tableParts count="1">
    <x:tablePart xmlns:r="http://schemas.openxmlformats.org/officeDocument/2006/relationships" r:id="Ra26a30eb8abd4aa5"/>
  </x:tableParts>
</x:worksheet>
</file>